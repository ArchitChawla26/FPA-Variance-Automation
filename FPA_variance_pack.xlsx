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_Budget" sheetId="2" state="visible" r:id="rId2"/>
    <sheet xmlns:r="http://schemas.openxmlformats.org/officeDocument/2006/relationships" name="Data_Actual" sheetId="3" state="visible" r:id="rId3"/>
    <sheet xmlns:r="http://schemas.openxmlformats.org/officeDocument/2006/relationships" name="PL_Summary" sheetId="4" state="visible" r:id="rId4"/>
    <sheet xmlns:r="http://schemas.openxmlformats.org/officeDocument/2006/relationships" name="Variance_Detail" sheetId="5" state="visible" r:id="rId5"/>
    <sheet xmlns:r="http://schemas.openxmlformats.org/officeDocument/2006/relationships" name="Anomaly_Log" sheetId="6" state="visible" r:id="rId6"/>
    <sheet xmlns:r="http://schemas.openxmlformats.org/officeDocument/2006/relationships" name="Forecast" sheetId="7" state="visible" r:id="rId7"/>
    <sheet xmlns:r="http://schemas.openxmlformats.org/officeDocument/2006/relationships" name="Methodolog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0C1A2E"/>
      <sz val="15"/>
    </font>
    <font>
      <color rgb="005D6F88"/>
      <sz val="10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C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6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FP&amp;A Variance Pack</t>
        </is>
      </c>
    </row>
    <row r="2">
      <c r="A2" s="2" t="inlineStr">
        <is>
          <t>Modeled B2B SaaS company — monthly budget vs. actual review</t>
        </is>
      </c>
    </row>
    <row r="3">
      <c r="A3" t="inlineStr"/>
    </row>
    <row r="4">
      <c r="A4" t="inlineStr">
        <is>
          <t>Close month: September 2026 (latest closed month; 21 months of actuals, Jan 2025 – Sep 2026)</t>
        </is>
      </c>
    </row>
    <row r="5">
      <c r="A5" t="inlineStr">
        <is>
          <t>Prepared by: Archit Chawla</t>
        </is>
      </c>
    </row>
    <row r="6">
      <c r="A6" t="inlineStr"/>
    </row>
    <row r="7">
      <c r="A7" s="3" t="inlineStr">
        <is>
          <t>Contents</t>
        </is>
      </c>
    </row>
    <row r="8">
      <c r="A8" t="inlineStr">
        <is>
          <t>PL_Summary — September 2026 and FY2026-to-date P&amp;L: budget, actual, variance (live formulas)</t>
        </is>
      </c>
    </row>
    <row r="9">
      <c r="A9" t="inlineStr">
        <is>
          <t>Variance_Detail — September line detail with flags, plus labor rate/volume decomposition</t>
        </is>
      </c>
    </row>
    <row r="10">
      <c r="A10" t="inlineStr">
        <is>
          <t>Anomaly_Log — every flagged line-month from the two detection layers, with the validation scorecard</t>
        </is>
      </c>
    </row>
    <row r="11">
      <c r="A11" t="inlineStr">
        <is>
          <t>Forecast — Q4 2026 rolling reforecast and the Dec-2025 backtest vs. budget</t>
        </is>
      </c>
    </row>
    <row r="12">
      <c r="A12" t="inlineStr">
        <is>
          <t>Data_Budget / Data_Actual — the full monthly grids the summary formulas read</t>
        </is>
      </c>
    </row>
    <row r="13">
      <c r="A13" t="inlineStr">
        <is>
          <t>Methodology — thresholds, sign conventions, and limitations</t>
        </is>
      </c>
    </row>
    <row r="14">
      <c r="A14" t="inlineStr"/>
    </row>
    <row r="15">
      <c r="A15" t="inlineStr">
        <is>
          <t>The company is a modeled business built for this project; the structure, thresholds and</t>
        </is>
      </c>
    </row>
    <row r="16">
      <c r="A16" s="2" t="inlineStr">
        <is>
          <t>workflow are a real FP&amp;A close process. See Methodology.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4" t="inlineStr">
        <is>
          <t>Line</t>
        </is>
      </c>
      <c r="B1" s="4" t="inlineStr">
        <is>
          <t>2025-01</t>
        </is>
      </c>
      <c r="C1" s="4" t="inlineStr">
        <is>
          <t>2025-02</t>
        </is>
      </c>
      <c r="D1" s="4" t="inlineStr">
        <is>
          <t>2025-03</t>
        </is>
      </c>
      <c r="E1" s="4" t="inlineStr">
        <is>
          <t>2025-04</t>
        </is>
      </c>
      <c r="F1" s="4" t="inlineStr">
        <is>
          <t>2025-05</t>
        </is>
      </c>
      <c r="G1" s="4" t="inlineStr">
        <is>
          <t>2025-06</t>
        </is>
      </c>
      <c r="H1" s="4" t="inlineStr">
        <is>
          <t>2025-07</t>
        </is>
      </c>
      <c r="I1" s="4" t="inlineStr">
        <is>
          <t>2025-08</t>
        </is>
      </c>
      <c r="J1" s="4" t="inlineStr">
        <is>
          <t>2025-09</t>
        </is>
      </c>
      <c r="K1" s="4" t="inlineStr">
        <is>
          <t>2025-10</t>
        </is>
      </c>
      <c r="L1" s="4" t="inlineStr">
        <is>
          <t>2025-11</t>
        </is>
      </c>
      <c r="M1" s="4" t="inlineStr">
        <is>
          <t>2025-12</t>
        </is>
      </c>
      <c r="N1" s="4" t="inlineStr">
        <is>
          <t>2026-01</t>
        </is>
      </c>
      <c r="O1" s="4" t="inlineStr">
        <is>
          <t>2026-02</t>
        </is>
      </c>
      <c r="P1" s="4" t="inlineStr">
        <is>
          <t>2026-03</t>
        </is>
      </c>
      <c r="Q1" s="4" t="inlineStr">
        <is>
          <t>2026-04</t>
        </is>
      </c>
      <c r="R1" s="4" t="inlineStr">
        <is>
          <t>2026-05</t>
        </is>
      </c>
      <c r="S1" s="4" t="inlineStr">
        <is>
          <t>2026-06</t>
        </is>
      </c>
      <c r="T1" s="4" t="inlineStr">
        <is>
          <t>2026-07</t>
        </is>
      </c>
      <c r="U1" s="4" t="inlineStr">
        <is>
          <t>2026-08</t>
        </is>
      </c>
      <c r="V1" s="4" t="inlineStr">
        <is>
          <t>2026-09</t>
        </is>
      </c>
      <c r="W1" s="4" t="inlineStr">
        <is>
          <t>2026-10</t>
        </is>
      </c>
      <c r="X1" s="4" t="inlineStr">
        <is>
          <t>2026-11</t>
        </is>
      </c>
      <c r="Y1" s="4" t="inlineStr">
        <is>
          <t>2026-12</t>
        </is>
      </c>
    </row>
    <row r="2">
      <c r="A2" t="inlineStr">
        <is>
          <t>Subscription Revenue</t>
        </is>
      </c>
      <c r="B2" s="5" t="n">
        <v>2050000</v>
      </c>
      <c r="C2" s="5" t="n">
        <v>2093050</v>
      </c>
      <c r="D2" s="5" t="n">
        <v>2137004.05</v>
      </c>
      <c r="E2" s="5" t="n">
        <v>2181881.14</v>
      </c>
      <c r="F2" s="5" t="n">
        <v>2227700.64</v>
      </c>
      <c r="G2" s="5" t="n">
        <v>2274482.35</v>
      </c>
      <c r="H2" s="5" t="n">
        <v>2322246.48</v>
      </c>
      <c r="I2" s="5" t="n">
        <v>2371013.66</v>
      </c>
      <c r="J2" s="5" t="n">
        <v>2420804.94</v>
      </c>
      <c r="K2" s="5" t="n">
        <v>2471641.85</v>
      </c>
      <c r="L2" s="5" t="n">
        <v>2523546.33</v>
      </c>
      <c r="M2" s="5" t="n">
        <v>2576540.8</v>
      </c>
      <c r="N2" s="5" t="n">
        <v>2630648.16</v>
      </c>
      <c r="O2" s="5" t="n">
        <v>2685891.77</v>
      </c>
      <c r="P2" s="5" t="n">
        <v>2742295.5</v>
      </c>
      <c r="Q2" s="5" t="n">
        <v>2799883.7</v>
      </c>
      <c r="R2" s="5" t="n">
        <v>2858681.26</v>
      </c>
      <c r="S2" s="5" t="n">
        <v>2918713.56</v>
      </c>
      <c r="T2" s="5" t="n">
        <v>2980006.55</v>
      </c>
      <c r="U2" s="5" t="n">
        <v>3042586.69</v>
      </c>
      <c r="V2" s="5" t="n">
        <v>3106481.01</v>
      </c>
      <c r="W2" s="5" t="n">
        <v>3171717.11</v>
      </c>
      <c r="X2" s="5" t="n">
        <v>3238323.17</v>
      </c>
      <c r="Y2" s="5" t="n">
        <v>3306327.95</v>
      </c>
    </row>
    <row r="3">
      <c r="A3" t="inlineStr">
        <is>
          <t>Services Revenue</t>
        </is>
      </c>
      <c r="B3" s="5" t="n">
        <v>185000</v>
      </c>
      <c r="C3" s="5" t="n">
        <v>186850</v>
      </c>
      <c r="D3" s="5" t="n">
        <v>188718.5</v>
      </c>
      <c r="E3" s="5" t="n">
        <v>190605.69</v>
      </c>
      <c r="F3" s="5" t="n">
        <v>192511.74</v>
      </c>
      <c r="G3" s="5" t="n">
        <v>194436.86</v>
      </c>
      <c r="H3" s="5" t="n">
        <v>196381.23</v>
      </c>
      <c r="I3" s="5" t="n">
        <v>198345.04</v>
      </c>
      <c r="J3" s="5" t="n">
        <v>200328.49</v>
      </c>
      <c r="K3" s="5" t="n">
        <v>202331.78</v>
      </c>
      <c r="L3" s="5" t="n">
        <v>204355.09</v>
      </c>
      <c r="M3" s="5" t="n">
        <v>206398.64</v>
      </c>
      <c r="N3" s="5" t="n">
        <v>208462.63</v>
      </c>
      <c r="O3" s="5" t="n">
        <v>210547.26</v>
      </c>
      <c r="P3" s="5" t="n">
        <v>212652.73</v>
      </c>
      <c r="Q3" s="5" t="n">
        <v>214779.26</v>
      </c>
      <c r="R3" s="5" t="n">
        <v>216927.05</v>
      </c>
      <c r="S3" s="5" t="n">
        <v>219096.32</v>
      </c>
      <c r="T3" s="5" t="n">
        <v>221287.28</v>
      </c>
      <c r="U3" s="5" t="n">
        <v>223500.16</v>
      </c>
      <c r="V3" s="5" t="n">
        <v>225735.16</v>
      </c>
      <c r="W3" s="5" t="n">
        <v>227992.51</v>
      </c>
      <c r="X3" s="5" t="n">
        <v>230272.43</v>
      </c>
      <c r="Y3" s="5" t="n">
        <v>232575.16</v>
      </c>
    </row>
    <row r="4">
      <c r="A4" t="inlineStr">
        <is>
          <t>Cloud Hosting</t>
        </is>
      </c>
      <c r="B4" s="5" t="n">
        <v>385000</v>
      </c>
      <c r="C4" s="5" t="n">
        <v>393855</v>
      </c>
      <c r="D4" s="5" t="n">
        <v>402913.66</v>
      </c>
      <c r="E4" s="5" t="n">
        <v>412180.68</v>
      </c>
      <c r="F4" s="5" t="n">
        <v>421660.83</v>
      </c>
      <c r="G4" s="5" t="n">
        <v>431359.03</v>
      </c>
      <c r="H4" s="5" t="n">
        <v>441280.29</v>
      </c>
      <c r="I4" s="5" t="n">
        <v>451429.74</v>
      </c>
      <c r="J4" s="5" t="n">
        <v>461812.62</v>
      </c>
      <c r="K4" s="5" t="n">
        <v>472434.31</v>
      </c>
      <c r="L4" s="5" t="n">
        <v>483300.3</v>
      </c>
      <c r="M4" s="5" t="n">
        <v>494416.21</v>
      </c>
      <c r="N4" s="5" t="n">
        <v>505787.78</v>
      </c>
      <c r="O4" s="5" t="n">
        <v>517420.9</v>
      </c>
      <c r="P4" s="5" t="n">
        <v>529321.58</v>
      </c>
      <c r="Q4" s="5" t="n">
        <v>541495.98</v>
      </c>
      <c r="R4" s="5" t="n">
        <v>553950.39</v>
      </c>
      <c r="S4" s="5" t="n">
        <v>566691.24</v>
      </c>
      <c r="T4" s="5" t="n">
        <v>579725.14</v>
      </c>
      <c r="U4" s="5" t="n">
        <v>593058.8199999999</v>
      </c>
      <c r="V4" s="5" t="n">
        <v>606699.17</v>
      </c>
      <c r="W4" s="5" t="n">
        <v>620653.26</v>
      </c>
      <c r="X4" s="5" t="n">
        <v>634928.28</v>
      </c>
      <c r="Y4" s="5" t="n">
        <v>649531.63</v>
      </c>
    </row>
    <row r="5">
      <c r="A5" t="inlineStr">
        <is>
          <t>Support Labor</t>
        </is>
      </c>
      <c r="B5" s="5" t="n">
        <v>268000</v>
      </c>
      <c r="C5" s="5" t="n">
        <v>271216</v>
      </c>
      <c r="D5" s="5" t="n">
        <v>274470.59</v>
      </c>
      <c r="E5" s="5" t="n">
        <v>277764.24</v>
      </c>
      <c r="F5" s="5" t="n">
        <v>281097.41</v>
      </c>
      <c r="G5" s="5" t="n">
        <v>284470.58</v>
      </c>
      <c r="H5" s="5" t="n">
        <v>287884.23</v>
      </c>
      <c r="I5" s="5" t="n">
        <v>291338.84</v>
      </c>
      <c r="J5" s="5" t="n">
        <v>294834.9</v>
      </c>
      <c r="K5" s="5" t="n">
        <v>298372.92</v>
      </c>
      <c r="L5" s="5" t="n">
        <v>301953.4</v>
      </c>
      <c r="M5" s="5" t="n">
        <v>305576.84</v>
      </c>
      <c r="N5" s="5" t="n">
        <v>309243.76</v>
      </c>
      <c r="O5" s="5" t="n">
        <v>312954.68</v>
      </c>
      <c r="P5" s="5" t="n">
        <v>316710.14</v>
      </c>
      <c r="Q5" s="5" t="n">
        <v>320510.66</v>
      </c>
      <c r="R5" s="5" t="n">
        <v>324356.79</v>
      </c>
      <c r="S5" s="5" t="n">
        <v>328249.07</v>
      </c>
      <c r="T5" s="5" t="n">
        <v>332188.06</v>
      </c>
      <c r="U5" s="5" t="n">
        <v>336174.32</v>
      </c>
      <c r="V5" s="5" t="n">
        <v>340208.41</v>
      </c>
      <c r="W5" s="5" t="n">
        <v>344290.91</v>
      </c>
      <c r="X5" s="5" t="n">
        <v>348422.4</v>
      </c>
      <c r="Y5" s="5" t="n">
        <v>352603.47</v>
      </c>
    </row>
    <row r="6">
      <c r="A6" t="inlineStr">
        <is>
          <t>Engineering Labor</t>
        </is>
      </c>
      <c r="B6" s="5" t="n">
        <v>742000</v>
      </c>
      <c r="C6" s="5" t="n">
        <v>752388</v>
      </c>
      <c r="D6" s="5" t="n">
        <v>762921.4300000001</v>
      </c>
      <c r="E6" s="5" t="n">
        <v>773602.33</v>
      </c>
      <c r="F6" s="5" t="n">
        <v>784432.76</v>
      </c>
      <c r="G6" s="5" t="n">
        <v>795414.8199999999</v>
      </c>
      <c r="H6" s="5" t="n">
        <v>806550.63</v>
      </c>
      <c r="I6" s="5" t="n">
        <v>817842.34</v>
      </c>
      <c r="J6" s="5" t="n">
        <v>829292.13</v>
      </c>
      <c r="K6" s="5" t="n">
        <v>840902.22</v>
      </c>
      <c r="L6" s="5" t="n">
        <v>852674.85</v>
      </c>
      <c r="M6" s="5" t="n">
        <v>864612.3</v>
      </c>
      <c r="N6" s="5" t="n">
        <v>876716.87</v>
      </c>
      <c r="O6" s="5" t="n">
        <v>888990.91</v>
      </c>
      <c r="P6" s="5" t="n">
        <v>901436.78</v>
      </c>
      <c r="Q6" s="5" t="n">
        <v>914056.9</v>
      </c>
      <c r="R6" s="5" t="n">
        <v>926853.6899999999</v>
      </c>
      <c r="S6" s="5" t="n">
        <v>939829.65</v>
      </c>
      <c r="T6" s="5" t="n">
        <v>952987.26</v>
      </c>
      <c r="U6" s="5" t="n">
        <v>966329.08</v>
      </c>
      <c r="V6" s="5" t="n">
        <v>979857.6899999999</v>
      </c>
      <c r="W6" s="5" t="n">
        <v>993575.7</v>
      </c>
      <c r="X6" s="5" t="n">
        <v>1007485.76</v>
      </c>
      <c r="Y6" s="5" t="n">
        <v>1021590.56</v>
      </c>
    </row>
    <row r="7">
      <c r="A7" t="inlineStr">
        <is>
          <t>Software &amp; Tools</t>
        </is>
      </c>
      <c r="B7" s="5" t="n">
        <v>96000</v>
      </c>
      <c r="C7" s="5" t="n">
        <v>97152</v>
      </c>
      <c r="D7" s="5" t="n">
        <v>98317.82000000001</v>
      </c>
      <c r="E7" s="5" t="n">
        <v>99497.64</v>
      </c>
      <c r="F7" s="5" t="n">
        <v>100691.61</v>
      </c>
      <c r="G7" s="5" t="n">
        <v>101899.91</v>
      </c>
      <c r="H7" s="5" t="n">
        <v>103122.71</v>
      </c>
      <c r="I7" s="5" t="n">
        <v>104360.18</v>
      </c>
      <c r="J7" s="5" t="n">
        <v>105612.5</v>
      </c>
      <c r="K7" s="5" t="n">
        <v>106879.85</v>
      </c>
      <c r="L7" s="5" t="n">
        <v>108162.41</v>
      </c>
      <c r="M7" s="5" t="n">
        <v>109460.36</v>
      </c>
      <c r="N7" s="5" t="n">
        <v>110773.88</v>
      </c>
      <c r="O7" s="5" t="n">
        <v>112103.17</v>
      </c>
      <c r="P7" s="5" t="n">
        <v>113448.41</v>
      </c>
      <c r="Q7" s="5" t="n">
        <v>114809.79</v>
      </c>
      <c r="R7" s="5" t="n">
        <v>116187.51</v>
      </c>
      <c r="S7" s="5" t="n">
        <v>117581.76</v>
      </c>
      <c r="T7" s="5" t="n">
        <v>118992.74</v>
      </c>
      <c r="U7" s="5" t="n">
        <v>120420.65</v>
      </c>
      <c r="V7" s="5" t="n">
        <v>121865.7</v>
      </c>
      <c r="W7" s="5" t="n">
        <v>123328.09</v>
      </c>
      <c r="X7" s="5" t="n">
        <v>124808.02</v>
      </c>
      <c r="Y7" s="5" t="n">
        <v>126305.72</v>
      </c>
    </row>
    <row r="8">
      <c r="A8" t="inlineStr">
        <is>
          <t>Sales &amp; Marketing Labor</t>
        </is>
      </c>
      <c r="B8" s="5" t="n">
        <v>512000</v>
      </c>
      <c r="C8" s="5" t="n">
        <v>520192</v>
      </c>
      <c r="D8" s="5" t="n">
        <v>528515.0699999999</v>
      </c>
      <c r="E8" s="5" t="n">
        <v>536971.3100000001</v>
      </c>
      <c r="F8" s="5" t="n">
        <v>545562.85</v>
      </c>
      <c r="G8" s="5" t="n">
        <v>554291.86</v>
      </c>
      <c r="H8" s="5" t="n">
        <v>563160.53</v>
      </c>
      <c r="I8" s="5" t="n">
        <v>572171.1</v>
      </c>
      <c r="J8" s="5" t="n">
        <v>581325.84</v>
      </c>
      <c r="K8" s="5" t="n">
        <v>590627.05</v>
      </c>
      <c r="L8" s="5" t="n">
        <v>600077.08</v>
      </c>
      <c r="M8" s="5" t="n">
        <v>609678.3199999999</v>
      </c>
      <c r="N8" s="5" t="n">
        <v>619433.17</v>
      </c>
      <c r="O8" s="5" t="n">
        <v>629344.1</v>
      </c>
      <c r="P8" s="5" t="n">
        <v>639413.6</v>
      </c>
      <c r="Q8" s="5" t="n">
        <v>649644.22</v>
      </c>
      <c r="R8" s="5" t="n">
        <v>660038.53</v>
      </c>
      <c r="S8" s="5" t="n">
        <v>670599.15</v>
      </c>
      <c r="T8" s="5" t="n">
        <v>681328.73</v>
      </c>
      <c r="U8" s="5" t="n">
        <v>692229.99</v>
      </c>
      <c r="V8" s="5" t="n">
        <v>703305.67</v>
      </c>
      <c r="W8" s="5" t="n">
        <v>714558.5600000001</v>
      </c>
      <c r="X8" s="5" t="n">
        <v>725991.5</v>
      </c>
      <c r="Y8" s="5" t="n">
        <v>737607.36</v>
      </c>
    </row>
    <row r="9">
      <c r="A9" t="inlineStr">
        <is>
          <t>Marketing Programs</t>
        </is>
      </c>
      <c r="B9" s="5" t="n">
        <v>148000</v>
      </c>
      <c r="C9" s="5" t="n">
        <v>149184</v>
      </c>
      <c r="D9" s="5" t="n">
        <v>150377.47</v>
      </c>
      <c r="E9" s="5" t="n">
        <v>151580.49</v>
      </c>
      <c r="F9" s="5" t="n">
        <v>152793.14</v>
      </c>
      <c r="G9" s="5" t="n">
        <v>154015.48</v>
      </c>
      <c r="H9" s="5" t="n">
        <v>155247.6</v>
      </c>
      <c r="I9" s="5" t="n">
        <v>156489.59</v>
      </c>
      <c r="J9" s="5" t="n">
        <v>157741.5</v>
      </c>
      <c r="K9" s="5" t="n">
        <v>159003.43</v>
      </c>
      <c r="L9" s="5" t="n">
        <v>160275.46</v>
      </c>
      <c r="M9" s="5" t="n">
        <v>161557.67</v>
      </c>
      <c r="N9" s="5" t="n">
        <v>162850.13</v>
      </c>
      <c r="O9" s="5" t="n">
        <v>164152.93</v>
      </c>
      <c r="P9" s="5" t="n">
        <v>165466.15</v>
      </c>
      <c r="Q9" s="5" t="n">
        <v>166789.88</v>
      </c>
      <c r="R9" s="5" t="n">
        <v>168124.2</v>
      </c>
      <c r="S9" s="5" t="n">
        <v>169469.19</v>
      </c>
      <c r="T9" s="5" t="n">
        <v>170824.95</v>
      </c>
      <c r="U9" s="5" t="n">
        <v>172191.55</v>
      </c>
      <c r="V9" s="5" t="n">
        <v>173569.08</v>
      </c>
      <c r="W9" s="5" t="n">
        <v>174957.63</v>
      </c>
      <c r="X9" s="5" t="n">
        <v>176357.29</v>
      </c>
      <c r="Y9" s="5" t="n">
        <v>177768.15</v>
      </c>
    </row>
    <row r="10">
      <c r="A10" t="inlineStr">
        <is>
          <t>Customer Success Labor</t>
        </is>
      </c>
      <c r="B10" s="5" t="n">
        <v>196000</v>
      </c>
      <c r="C10" s="5" t="n">
        <v>198548</v>
      </c>
      <c r="D10" s="5" t="n">
        <v>201129.12</v>
      </c>
      <c r="E10" s="5" t="n">
        <v>203743.8</v>
      </c>
      <c r="F10" s="5" t="n">
        <v>206392.47</v>
      </c>
      <c r="G10" s="5" t="n">
        <v>209075.57</v>
      </c>
      <c r="H10" s="5" t="n">
        <v>211793.56</v>
      </c>
      <c r="I10" s="5" t="n">
        <v>214546.87</v>
      </c>
      <c r="J10" s="5" t="n">
        <v>217335.98</v>
      </c>
      <c r="K10" s="5" t="n">
        <v>220161.35</v>
      </c>
      <c r="L10" s="5" t="n">
        <v>223023.45</v>
      </c>
      <c r="M10" s="5" t="n">
        <v>225922.75</v>
      </c>
      <c r="N10" s="5" t="n">
        <v>228859.75</v>
      </c>
      <c r="O10" s="5" t="n">
        <v>231834.92</v>
      </c>
      <c r="P10" s="5" t="n">
        <v>234848.78</v>
      </c>
      <c r="Q10" s="5" t="n">
        <v>237901.81</v>
      </c>
      <c r="R10" s="5" t="n">
        <v>240994.54</v>
      </c>
      <c r="S10" s="5" t="n">
        <v>244127.47</v>
      </c>
      <c r="T10" s="5" t="n">
        <v>247301.12</v>
      </c>
      <c r="U10" s="5" t="n">
        <v>250516.04</v>
      </c>
      <c r="V10" s="5" t="n">
        <v>253772.75</v>
      </c>
      <c r="W10" s="5" t="n">
        <v>257071.79</v>
      </c>
      <c r="X10" s="5" t="n">
        <v>260413.72</v>
      </c>
      <c r="Y10" s="5" t="n">
        <v>263799.1</v>
      </c>
    </row>
    <row r="11">
      <c r="A11" t="inlineStr">
        <is>
          <t>G&amp;A Labor</t>
        </is>
      </c>
      <c r="B11" s="5" t="n">
        <v>238000</v>
      </c>
      <c r="C11" s="5" t="n">
        <v>240380</v>
      </c>
      <c r="D11" s="5" t="n">
        <v>242783.8</v>
      </c>
      <c r="E11" s="5" t="n">
        <v>245211.64</v>
      </c>
      <c r="F11" s="5" t="n">
        <v>247663.75</v>
      </c>
      <c r="G11" s="5" t="n">
        <v>250140.39</v>
      </c>
      <c r="H11" s="5" t="n">
        <v>252641.8</v>
      </c>
      <c r="I11" s="5" t="n">
        <v>255168.21</v>
      </c>
      <c r="J11" s="5" t="n">
        <v>257719.9</v>
      </c>
      <c r="K11" s="5" t="n">
        <v>260297.09</v>
      </c>
      <c r="L11" s="5" t="n">
        <v>262900.07</v>
      </c>
      <c r="M11" s="5" t="n">
        <v>265529.07</v>
      </c>
      <c r="N11" s="5" t="n">
        <v>268184.36</v>
      </c>
      <c r="O11" s="5" t="n">
        <v>270866.2</v>
      </c>
      <c r="P11" s="5" t="n">
        <v>273574.86</v>
      </c>
      <c r="Q11" s="5" t="n">
        <v>276310.61</v>
      </c>
      <c r="R11" s="5" t="n">
        <v>279073.72</v>
      </c>
      <c r="S11" s="5" t="n">
        <v>281864.45</v>
      </c>
      <c r="T11" s="5" t="n">
        <v>284683.1</v>
      </c>
      <c r="U11" s="5" t="n">
        <v>287529.93</v>
      </c>
      <c r="V11" s="5" t="n">
        <v>290405.23</v>
      </c>
      <c r="W11" s="5" t="n">
        <v>293309.28</v>
      </c>
      <c r="X11" s="5" t="n">
        <v>296242.37</v>
      </c>
      <c r="Y11" s="5" t="n">
        <v>299204.8</v>
      </c>
    </row>
    <row r="12">
      <c r="A12" t="inlineStr">
        <is>
          <t>Legal &amp; Professional</t>
        </is>
      </c>
      <c r="B12" s="5" t="n">
        <v>54000</v>
      </c>
      <c r="C12" s="5" t="n">
        <v>54216</v>
      </c>
      <c r="D12" s="5" t="n">
        <v>54432.86</v>
      </c>
      <c r="E12" s="5" t="n">
        <v>54650.6</v>
      </c>
      <c r="F12" s="5" t="n">
        <v>54869.2</v>
      </c>
      <c r="G12" s="5" t="n">
        <v>55088.67</v>
      </c>
      <c r="H12" s="5" t="n">
        <v>55309.03</v>
      </c>
      <c r="I12" s="5" t="n">
        <v>55530.27</v>
      </c>
      <c r="J12" s="5" t="n">
        <v>55752.39</v>
      </c>
      <c r="K12" s="5" t="n">
        <v>55975.4</v>
      </c>
      <c r="L12" s="5" t="n">
        <v>56199.3</v>
      </c>
      <c r="M12" s="5" t="n">
        <v>56424.09</v>
      </c>
      <c r="N12" s="5" t="n">
        <v>56649.79</v>
      </c>
      <c r="O12" s="5" t="n">
        <v>56876.39</v>
      </c>
      <c r="P12" s="5" t="n">
        <v>57103.9</v>
      </c>
      <c r="Q12" s="5" t="n">
        <v>57332.31</v>
      </c>
      <c r="R12" s="5" t="n">
        <v>57561.64</v>
      </c>
      <c r="S12" s="5" t="n">
        <v>57791.89</v>
      </c>
      <c r="T12" s="5" t="n">
        <v>58023.05</v>
      </c>
      <c r="U12" s="5" t="n">
        <v>58255.15</v>
      </c>
      <c r="V12" s="5" t="n">
        <v>58488.17</v>
      </c>
      <c r="W12" s="5" t="n">
        <v>58722.12</v>
      </c>
      <c r="X12" s="5" t="n">
        <v>58957.01</v>
      </c>
      <c r="Y12" s="5" t="n">
        <v>59192.84</v>
      </c>
    </row>
    <row r="13">
      <c r="A13" t="inlineStr">
        <is>
          <t>Facilities &amp; Other</t>
        </is>
      </c>
      <c r="B13" s="5" t="n">
        <v>88000</v>
      </c>
      <c r="C13" s="5" t="n">
        <v>88440</v>
      </c>
      <c r="D13" s="5" t="n">
        <v>88882.2</v>
      </c>
      <c r="E13" s="5" t="n">
        <v>89326.61</v>
      </c>
      <c r="F13" s="5" t="n">
        <v>89773.24000000001</v>
      </c>
      <c r="G13" s="5" t="n">
        <v>90222.11</v>
      </c>
      <c r="H13" s="5" t="n">
        <v>90673.22</v>
      </c>
      <c r="I13" s="5" t="n">
        <v>91126.59</v>
      </c>
      <c r="J13" s="5" t="n">
        <v>91582.22</v>
      </c>
      <c r="K13" s="5" t="n">
        <v>92040.13</v>
      </c>
      <c r="L13" s="5" t="n">
        <v>92500.33</v>
      </c>
      <c r="M13" s="5" t="n">
        <v>92962.83</v>
      </c>
      <c r="N13" s="5" t="n">
        <v>93427.64999999999</v>
      </c>
      <c r="O13" s="5" t="n">
        <v>93894.78999999999</v>
      </c>
      <c r="P13" s="5" t="n">
        <v>94364.25999999999</v>
      </c>
      <c r="Q13" s="5" t="n">
        <v>94836.08</v>
      </c>
      <c r="R13" s="5" t="n">
        <v>95310.25999999999</v>
      </c>
      <c r="S13" s="5" t="n">
        <v>95786.81</v>
      </c>
      <c r="T13" s="5" t="n">
        <v>96265.75</v>
      </c>
      <c r="U13" s="5" t="n">
        <v>96747.08</v>
      </c>
      <c r="V13" s="5" t="n">
        <v>97230.81</v>
      </c>
      <c r="W13" s="5" t="n">
        <v>97716.96000000001</v>
      </c>
      <c r="X13" s="5" t="n">
        <v>98205.55</v>
      </c>
      <c r="Y13" s="5" t="n">
        <v>98696.58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4" t="inlineStr">
        <is>
          <t>Line</t>
        </is>
      </c>
      <c r="B1" s="4" t="inlineStr">
        <is>
          <t>2025-01</t>
        </is>
      </c>
      <c r="C1" s="4" t="inlineStr">
        <is>
          <t>2025-02</t>
        </is>
      </c>
      <c r="D1" s="4" t="inlineStr">
        <is>
          <t>2025-03</t>
        </is>
      </c>
      <c r="E1" s="4" t="inlineStr">
        <is>
          <t>2025-04</t>
        </is>
      </c>
      <c r="F1" s="4" t="inlineStr">
        <is>
          <t>2025-05</t>
        </is>
      </c>
      <c r="G1" s="4" t="inlineStr">
        <is>
          <t>2025-06</t>
        </is>
      </c>
      <c r="H1" s="4" t="inlineStr">
        <is>
          <t>2025-07</t>
        </is>
      </c>
      <c r="I1" s="4" t="inlineStr">
        <is>
          <t>2025-08</t>
        </is>
      </c>
      <c r="J1" s="4" t="inlineStr">
        <is>
          <t>2025-09</t>
        </is>
      </c>
      <c r="K1" s="4" t="inlineStr">
        <is>
          <t>2025-10</t>
        </is>
      </c>
      <c r="L1" s="4" t="inlineStr">
        <is>
          <t>2025-11</t>
        </is>
      </c>
      <c r="M1" s="4" t="inlineStr">
        <is>
          <t>2025-12</t>
        </is>
      </c>
      <c r="N1" s="4" t="inlineStr">
        <is>
          <t>2026-01</t>
        </is>
      </c>
      <c r="O1" s="4" t="inlineStr">
        <is>
          <t>2026-02</t>
        </is>
      </c>
      <c r="P1" s="4" t="inlineStr">
        <is>
          <t>2026-03</t>
        </is>
      </c>
      <c r="Q1" s="4" t="inlineStr">
        <is>
          <t>2026-04</t>
        </is>
      </c>
      <c r="R1" s="4" t="inlineStr">
        <is>
          <t>2026-05</t>
        </is>
      </c>
      <c r="S1" s="4" t="inlineStr">
        <is>
          <t>2026-06</t>
        </is>
      </c>
      <c r="T1" s="4" t="inlineStr">
        <is>
          <t>2026-07</t>
        </is>
      </c>
      <c r="U1" s="4" t="inlineStr">
        <is>
          <t>2026-08</t>
        </is>
      </c>
      <c r="V1" s="4" t="inlineStr">
        <is>
          <t>2026-09</t>
        </is>
      </c>
      <c r="W1" s="4" t="inlineStr">
        <is>
          <t>2026-10</t>
        </is>
      </c>
      <c r="X1" s="4" t="inlineStr">
        <is>
          <t>2026-11</t>
        </is>
      </c>
      <c r="Y1" s="4" t="inlineStr">
        <is>
          <t>2026-12</t>
        </is>
      </c>
    </row>
    <row r="2">
      <c r="A2" t="inlineStr">
        <is>
          <t>Subscription Revenue</t>
        </is>
      </c>
      <c r="B2" s="5" t="n">
        <v>2057496.04</v>
      </c>
      <c r="C2" s="5" t="n">
        <v>2066929.14</v>
      </c>
      <c r="D2" s="5" t="n">
        <v>2156248.66</v>
      </c>
      <c r="E2" s="5" t="n">
        <v>2206507.54</v>
      </c>
      <c r="F2" s="5" t="n">
        <v>2175544.77</v>
      </c>
      <c r="G2" s="5" t="n">
        <v>2238940.94</v>
      </c>
      <c r="H2" s="5" t="n">
        <v>2325809</v>
      </c>
      <c r="I2" s="5" t="n">
        <v>2362015.87</v>
      </c>
      <c r="J2" s="5" t="n">
        <v>2420316.88</v>
      </c>
      <c r="K2" s="5" t="n">
        <v>2446340.82</v>
      </c>
      <c r="L2" s="5" t="n">
        <v>2550176.75</v>
      </c>
      <c r="M2" s="5" t="n">
        <v>2600588.95</v>
      </c>
      <c r="N2" s="5" t="n">
        <v>2474768.64</v>
      </c>
      <c r="O2" s="5" t="n">
        <v>2558890.13</v>
      </c>
      <c r="P2" s="5" t="n">
        <v>2592219.28</v>
      </c>
      <c r="Q2" s="5" t="n">
        <v>2771012.67</v>
      </c>
      <c r="R2" s="5" t="n">
        <v>2871330.95</v>
      </c>
      <c r="S2" s="5" t="n">
        <v>2885129.12</v>
      </c>
      <c r="T2" s="5" t="n">
        <v>3011420</v>
      </c>
      <c r="U2" s="5" t="n">
        <v>3040763.84</v>
      </c>
      <c r="V2" s="5" t="n">
        <v>3099589.75</v>
      </c>
    </row>
    <row r="3">
      <c r="A3" t="inlineStr">
        <is>
          <t>Services Revenue</t>
        </is>
      </c>
      <c r="B3" s="5" t="n">
        <v>181220.84</v>
      </c>
      <c r="C3" s="5" t="n">
        <v>193702.96</v>
      </c>
      <c r="D3" s="5" t="n">
        <v>187843.62</v>
      </c>
      <c r="E3" s="5" t="n">
        <v>188156.43</v>
      </c>
      <c r="F3" s="5" t="n">
        <v>190478.05</v>
      </c>
      <c r="G3" s="5" t="n">
        <v>197541.88</v>
      </c>
      <c r="H3" s="5" t="n">
        <v>198534.22</v>
      </c>
      <c r="I3" s="5" t="n">
        <v>200800.94</v>
      </c>
      <c r="J3" s="5" t="n">
        <v>202917.66</v>
      </c>
      <c r="K3" s="5" t="n">
        <v>215331.48</v>
      </c>
      <c r="L3" s="5" t="n">
        <v>201863.5</v>
      </c>
      <c r="M3" s="5" t="n">
        <v>203226.86</v>
      </c>
      <c r="N3" s="5" t="n">
        <v>203373.39</v>
      </c>
      <c r="O3" s="5" t="n">
        <v>214438.04</v>
      </c>
      <c r="P3" s="5" t="n">
        <v>219855.1</v>
      </c>
      <c r="Q3" s="5" t="n">
        <v>214045.05</v>
      </c>
      <c r="R3" s="5" t="n">
        <v>211459.47</v>
      </c>
      <c r="S3" s="5" t="n">
        <v>213677.1</v>
      </c>
      <c r="T3" s="5" t="n">
        <v>225606.32</v>
      </c>
      <c r="U3" s="5" t="n">
        <v>228483.68</v>
      </c>
      <c r="V3" s="5" t="n">
        <v>229413.43</v>
      </c>
    </row>
    <row r="4">
      <c r="A4" t="inlineStr">
        <is>
          <t>Cloud Hosting</t>
        </is>
      </c>
      <c r="B4" s="5" t="n">
        <v>379875.58</v>
      </c>
      <c r="C4" s="5" t="n">
        <v>395683.76</v>
      </c>
      <c r="D4" s="5" t="n">
        <v>403853.95</v>
      </c>
      <c r="E4" s="5" t="n">
        <v>413983.46</v>
      </c>
      <c r="F4" s="5" t="n">
        <v>429009.78</v>
      </c>
      <c r="G4" s="5" t="n">
        <v>433288.03</v>
      </c>
      <c r="H4" s="5" t="n">
        <v>447272.12</v>
      </c>
      <c r="I4" s="5" t="n">
        <v>452039.88</v>
      </c>
      <c r="J4" s="5" t="n">
        <v>464483</v>
      </c>
      <c r="K4" s="5" t="n">
        <v>478399.16</v>
      </c>
      <c r="L4" s="5" t="n">
        <v>469215.43</v>
      </c>
      <c r="M4" s="5" t="n">
        <v>491255.2</v>
      </c>
      <c r="N4" s="5" t="n">
        <v>501029.61</v>
      </c>
      <c r="O4" s="5" t="n">
        <v>510809.53</v>
      </c>
      <c r="P4" s="5" t="n">
        <v>710651.89</v>
      </c>
      <c r="Q4" s="5" t="n">
        <v>557686.0699999999</v>
      </c>
      <c r="R4" s="5" t="n">
        <v>544357.84</v>
      </c>
      <c r="S4" s="5" t="n">
        <v>577665.54</v>
      </c>
      <c r="T4" s="5" t="n">
        <v>560213.1</v>
      </c>
      <c r="U4" s="5" t="n">
        <v>589086.6899999999</v>
      </c>
      <c r="V4" s="5" t="n">
        <v>608674.02</v>
      </c>
    </row>
    <row r="5">
      <c r="A5" t="inlineStr">
        <is>
          <t>Support Labor</t>
        </is>
      </c>
      <c r="B5" s="5" t="n">
        <v>270356.61</v>
      </c>
      <c r="C5" s="5" t="n">
        <v>274109.44</v>
      </c>
      <c r="D5" s="5" t="n">
        <v>277736.85</v>
      </c>
      <c r="E5" s="5" t="n">
        <v>276311.29</v>
      </c>
      <c r="F5" s="5" t="n">
        <v>279147.92</v>
      </c>
      <c r="G5" s="5" t="n">
        <v>288131.61</v>
      </c>
      <c r="H5" s="5" t="n">
        <v>287058.12</v>
      </c>
      <c r="I5" s="5" t="n">
        <v>285763.98</v>
      </c>
      <c r="J5" s="5" t="n">
        <v>289822.91</v>
      </c>
      <c r="K5" s="5" t="n">
        <v>294257.83</v>
      </c>
      <c r="L5" s="5" t="n">
        <v>304205.19</v>
      </c>
      <c r="M5" s="5" t="n">
        <v>306229.67</v>
      </c>
      <c r="N5" s="5" t="n">
        <v>312446.68</v>
      </c>
      <c r="O5" s="5" t="n">
        <v>310949.02</v>
      </c>
      <c r="P5" s="5" t="n">
        <v>317463.31</v>
      </c>
      <c r="Q5" s="5" t="n">
        <v>323518.29</v>
      </c>
      <c r="R5" s="5" t="n">
        <v>322851.71</v>
      </c>
      <c r="S5" s="5" t="n">
        <v>330498.11</v>
      </c>
      <c r="T5" s="5" t="n">
        <v>328889.8</v>
      </c>
      <c r="U5" s="5" t="n">
        <v>334343.58</v>
      </c>
      <c r="V5" s="5" t="n">
        <v>338260.35</v>
      </c>
    </row>
    <row r="6">
      <c r="A6" t="inlineStr">
        <is>
          <t>Engineering Labor</t>
        </is>
      </c>
      <c r="B6" s="5" t="n">
        <v>728690.3</v>
      </c>
      <c r="C6" s="5" t="n">
        <v>757883.88</v>
      </c>
      <c r="D6" s="5" t="n">
        <v>757549.6800000001</v>
      </c>
      <c r="E6" s="5" t="n">
        <v>773747.3100000001</v>
      </c>
      <c r="F6" s="5" t="n">
        <v>790089.47</v>
      </c>
      <c r="G6" s="5" t="n">
        <v>800742.49</v>
      </c>
      <c r="H6" s="5" t="n">
        <v>814600.63</v>
      </c>
      <c r="I6" s="5" t="n">
        <v>816634.16</v>
      </c>
      <c r="J6" s="5" t="n">
        <v>824026.5600000001</v>
      </c>
      <c r="K6" s="5" t="n">
        <v>839896.6899999999</v>
      </c>
      <c r="L6" s="5" t="n">
        <v>831093.64</v>
      </c>
      <c r="M6" s="5" t="n">
        <v>845844.4300000001</v>
      </c>
      <c r="N6" s="5" t="n">
        <v>859322.38</v>
      </c>
      <c r="O6" s="5" t="n">
        <v>875692.76</v>
      </c>
      <c r="P6" s="5" t="n">
        <v>906842.35</v>
      </c>
      <c r="Q6" s="5" t="n">
        <v>793444.97</v>
      </c>
      <c r="R6" s="5" t="n">
        <v>811004.63</v>
      </c>
      <c r="S6" s="5" t="n">
        <v>843167.99</v>
      </c>
      <c r="T6" s="5" t="n">
        <v>947894.54</v>
      </c>
      <c r="U6" s="5" t="n">
        <v>977019.3199999999</v>
      </c>
      <c r="V6" s="5" t="n">
        <v>966135.5</v>
      </c>
    </row>
    <row r="7">
      <c r="A7" t="inlineStr">
        <is>
          <t>Software &amp; Tools</t>
        </is>
      </c>
      <c r="B7" s="5" t="n">
        <v>95506.95</v>
      </c>
      <c r="C7" s="5" t="n">
        <v>94844.59</v>
      </c>
      <c r="D7" s="5" t="n">
        <v>97484.5</v>
      </c>
      <c r="E7" s="5" t="n">
        <v>101587.85</v>
      </c>
      <c r="F7" s="5" t="n">
        <v>96343.44</v>
      </c>
      <c r="G7" s="5" t="n">
        <v>103006.6</v>
      </c>
      <c r="H7" s="5" t="n">
        <v>103735.61</v>
      </c>
      <c r="I7" s="5" t="n">
        <v>102810.04</v>
      </c>
      <c r="J7" s="5" t="n">
        <v>101794.46</v>
      </c>
      <c r="K7" s="5" t="n">
        <v>107072.58</v>
      </c>
      <c r="L7" s="5" t="n">
        <v>106730.63</v>
      </c>
      <c r="M7" s="5" t="n">
        <v>110097.08</v>
      </c>
      <c r="N7" s="5" t="n">
        <v>110834.4</v>
      </c>
      <c r="O7" s="5" t="n">
        <v>116592.28</v>
      </c>
      <c r="P7" s="5" t="n">
        <v>112769.55</v>
      </c>
      <c r="Q7" s="5" t="n">
        <v>111872.1</v>
      </c>
      <c r="R7" s="5" t="n">
        <v>116708.25</v>
      </c>
      <c r="S7" s="5" t="n">
        <v>118228.45</v>
      </c>
      <c r="T7" s="5" t="n">
        <v>123036.07</v>
      </c>
      <c r="U7" s="5" t="n">
        <v>122934.77</v>
      </c>
      <c r="V7" s="5" t="n">
        <v>122952.96</v>
      </c>
    </row>
    <row r="8">
      <c r="A8" t="inlineStr">
        <is>
          <t>Sales &amp; Marketing Labor</t>
        </is>
      </c>
      <c r="B8" s="5" t="n">
        <v>523238.17</v>
      </c>
      <c r="C8" s="5" t="n">
        <v>510916.22</v>
      </c>
      <c r="D8" s="5" t="n">
        <v>523443.3</v>
      </c>
      <c r="E8" s="5" t="n">
        <v>529508.14</v>
      </c>
      <c r="F8" s="5" t="n">
        <v>542372.87</v>
      </c>
      <c r="G8" s="5" t="n">
        <v>542845.5699999999</v>
      </c>
      <c r="H8" s="5" t="n">
        <v>568525.91</v>
      </c>
      <c r="I8" s="5" t="n">
        <v>570263.86</v>
      </c>
      <c r="J8" s="5" t="n">
        <v>568500.5699999999</v>
      </c>
      <c r="K8" s="5" t="n">
        <v>581629.62</v>
      </c>
      <c r="L8" s="5" t="n">
        <v>602899.0699999999</v>
      </c>
      <c r="M8" s="5" t="n">
        <v>617343.13</v>
      </c>
      <c r="N8" s="5" t="n">
        <v>637985.79</v>
      </c>
      <c r="O8" s="5" t="n">
        <v>656851.4300000001</v>
      </c>
      <c r="P8" s="5" t="n">
        <v>643388.29</v>
      </c>
      <c r="Q8" s="5" t="n">
        <v>640001.51</v>
      </c>
      <c r="R8" s="5" t="n">
        <v>638930.04</v>
      </c>
      <c r="S8" s="5" t="n">
        <v>673292.05</v>
      </c>
      <c r="T8" s="5" t="n">
        <v>673020.53</v>
      </c>
      <c r="U8" s="5" t="n">
        <v>687917.15</v>
      </c>
      <c r="V8" s="5" t="n">
        <v>696848.3</v>
      </c>
    </row>
    <row r="9">
      <c r="A9" t="inlineStr">
        <is>
          <t>Marketing Programs</t>
        </is>
      </c>
      <c r="B9" s="5" t="n">
        <v>147374.89</v>
      </c>
      <c r="C9" s="5" t="n">
        <v>153954.82</v>
      </c>
      <c r="D9" s="5" t="n">
        <v>151085.97</v>
      </c>
      <c r="E9" s="5" t="n">
        <v>150859.11</v>
      </c>
      <c r="F9" s="5" t="n">
        <v>148045.91</v>
      </c>
      <c r="G9" s="5" t="n">
        <v>146277.67</v>
      </c>
      <c r="H9" s="5" t="n">
        <v>152982.66</v>
      </c>
      <c r="I9" s="5" t="n">
        <v>156237.09</v>
      </c>
      <c r="J9" s="5" t="n">
        <v>212617.96</v>
      </c>
      <c r="K9" s="5" t="n">
        <v>204319.82</v>
      </c>
      <c r="L9" s="5" t="n">
        <v>165000.73</v>
      </c>
      <c r="M9" s="5" t="n">
        <v>159137.71</v>
      </c>
      <c r="N9" s="5" t="n">
        <v>157061.08</v>
      </c>
      <c r="O9" s="5" t="n">
        <v>159400.13</v>
      </c>
      <c r="P9" s="5" t="n">
        <v>161866.14</v>
      </c>
      <c r="Q9" s="5" t="n">
        <v>177440.1</v>
      </c>
      <c r="R9" s="5" t="n">
        <v>163981.35</v>
      </c>
      <c r="S9" s="5" t="n">
        <v>173732.14</v>
      </c>
      <c r="T9" s="5" t="n">
        <v>166197.67</v>
      </c>
      <c r="U9" s="5" t="n">
        <v>177003.82</v>
      </c>
      <c r="V9" s="5" t="n">
        <v>175573.55</v>
      </c>
    </row>
    <row r="10">
      <c r="A10" t="inlineStr">
        <is>
          <t>Customer Success Labor</t>
        </is>
      </c>
      <c r="B10" s="5" t="n">
        <v>195539.48</v>
      </c>
      <c r="C10" s="5" t="n">
        <v>198426.6</v>
      </c>
      <c r="D10" s="5" t="n">
        <v>199153.67</v>
      </c>
      <c r="E10" s="5" t="n">
        <v>205107.07</v>
      </c>
      <c r="F10" s="5" t="n">
        <v>204983.89</v>
      </c>
      <c r="G10" s="5" t="n">
        <v>205231.91</v>
      </c>
      <c r="H10" s="5" t="n">
        <v>207733.67</v>
      </c>
      <c r="I10" s="5" t="n">
        <v>215102.3</v>
      </c>
      <c r="J10" s="5" t="n">
        <v>222483.88</v>
      </c>
      <c r="K10" s="5" t="n">
        <v>220689.71</v>
      </c>
      <c r="L10" s="5" t="n">
        <v>222626.56</v>
      </c>
      <c r="M10" s="5" t="n">
        <v>226891.37</v>
      </c>
      <c r="N10" s="5" t="n">
        <v>233343.12</v>
      </c>
      <c r="O10" s="5" t="n">
        <v>232597.83</v>
      </c>
      <c r="P10" s="5" t="n">
        <v>233401.19</v>
      </c>
      <c r="Q10" s="5" t="n">
        <v>241849.63</v>
      </c>
      <c r="R10" s="5" t="n">
        <v>242544.46</v>
      </c>
      <c r="S10" s="5" t="n">
        <v>249751.27</v>
      </c>
      <c r="T10" s="5" t="n">
        <v>247980.83</v>
      </c>
      <c r="U10" s="5" t="n">
        <v>245914.8</v>
      </c>
      <c r="V10" s="5" t="n">
        <v>248564.72</v>
      </c>
    </row>
    <row r="11">
      <c r="A11" t="inlineStr">
        <is>
          <t>G&amp;A Labor</t>
        </is>
      </c>
      <c r="B11" s="5" t="n">
        <v>243893.81</v>
      </c>
      <c r="C11" s="5" t="n">
        <v>246595.02</v>
      </c>
      <c r="D11" s="5" t="n">
        <v>242130.03</v>
      </c>
      <c r="E11" s="5" t="n">
        <v>243802.21</v>
      </c>
      <c r="F11" s="5" t="n">
        <v>253092.96</v>
      </c>
      <c r="G11" s="5" t="n">
        <v>245986.64</v>
      </c>
      <c r="H11" s="5" t="n">
        <v>249251.11</v>
      </c>
      <c r="I11" s="5" t="n">
        <v>257630.56</v>
      </c>
      <c r="J11" s="5" t="n">
        <v>256194.43</v>
      </c>
      <c r="K11" s="5" t="n">
        <v>260277.1</v>
      </c>
      <c r="L11" s="5" t="n">
        <v>262255.53</v>
      </c>
      <c r="M11" s="5" t="n">
        <v>266873.6</v>
      </c>
      <c r="N11" s="5" t="n">
        <v>273846.33</v>
      </c>
      <c r="O11" s="5" t="n">
        <v>271234.25</v>
      </c>
      <c r="P11" s="5" t="n">
        <v>276217.34</v>
      </c>
      <c r="Q11" s="5" t="n">
        <v>267813.35</v>
      </c>
      <c r="R11" s="5" t="n">
        <v>278869.78</v>
      </c>
      <c r="S11" s="5" t="n">
        <v>278299.31</v>
      </c>
      <c r="T11" s="5" t="n">
        <v>279478.47</v>
      </c>
      <c r="U11" s="5" t="n">
        <v>309279.33</v>
      </c>
      <c r="V11" s="5" t="n">
        <v>288949.76</v>
      </c>
    </row>
    <row r="12">
      <c r="A12" t="inlineStr">
        <is>
          <t>Legal &amp; Professional</t>
        </is>
      </c>
      <c r="B12" s="5" t="n">
        <v>55978.35</v>
      </c>
      <c r="C12" s="5" t="n">
        <v>51339.53</v>
      </c>
      <c r="D12" s="5" t="n">
        <v>54499.56</v>
      </c>
      <c r="E12" s="5" t="n">
        <v>53592.19</v>
      </c>
      <c r="F12" s="5" t="n">
        <v>54150.03</v>
      </c>
      <c r="G12" s="5" t="n">
        <v>57298.3</v>
      </c>
      <c r="H12" s="5" t="n">
        <v>56499.54</v>
      </c>
      <c r="I12" s="5" t="n">
        <v>58500.91</v>
      </c>
      <c r="J12" s="5" t="n">
        <v>55407.82</v>
      </c>
      <c r="K12" s="5" t="n">
        <v>54417.17</v>
      </c>
      <c r="L12" s="5" t="n">
        <v>55696.07</v>
      </c>
      <c r="M12" s="5" t="n">
        <v>56971.4</v>
      </c>
      <c r="N12" s="5" t="n">
        <v>57049.9</v>
      </c>
      <c r="O12" s="5" t="n">
        <v>54409.35</v>
      </c>
      <c r="P12" s="5" t="n">
        <v>57310.59</v>
      </c>
      <c r="Q12" s="5" t="n">
        <v>57855.71</v>
      </c>
      <c r="R12" s="5" t="n">
        <v>223358.04</v>
      </c>
      <c r="S12" s="5" t="n">
        <v>62130.54</v>
      </c>
      <c r="T12" s="5" t="n">
        <v>56042.74</v>
      </c>
      <c r="U12" s="5" t="n">
        <v>57585.48</v>
      </c>
      <c r="V12" s="5" t="n">
        <v>55064.41</v>
      </c>
    </row>
    <row r="13">
      <c r="A13" t="inlineStr">
        <is>
          <t>Facilities &amp; Other</t>
        </is>
      </c>
      <c r="B13" s="5" t="n">
        <v>86960.36</v>
      </c>
      <c r="C13" s="5" t="n">
        <v>88998.24000000001</v>
      </c>
      <c r="D13" s="5" t="n">
        <v>91025.78</v>
      </c>
      <c r="E13" s="5" t="n">
        <v>88024.08</v>
      </c>
      <c r="F13" s="5" t="n">
        <v>88598.75</v>
      </c>
      <c r="G13" s="5" t="n">
        <v>86347.45</v>
      </c>
      <c r="H13" s="5" t="n">
        <v>90378.23</v>
      </c>
      <c r="I13" s="5" t="n">
        <v>89190.3</v>
      </c>
      <c r="J13" s="5" t="n">
        <v>90612.48</v>
      </c>
      <c r="K13" s="5" t="n">
        <v>90426</v>
      </c>
      <c r="L13" s="5" t="n">
        <v>92325.95</v>
      </c>
      <c r="M13" s="5" t="n">
        <v>89694.77</v>
      </c>
      <c r="N13" s="5" t="n">
        <v>90686.39999999999</v>
      </c>
      <c r="O13" s="5" t="n">
        <v>97893.28999999999</v>
      </c>
      <c r="P13" s="5" t="n">
        <v>91934.53</v>
      </c>
      <c r="Q13" s="5" t="n">
        <v>92755.78</v>
      </c>
      <c r="R13" s="5" t="n">
        <v>98811.8</v>
      </c>
      <c r="S13" s="5" t="n">
        <v>101352.16</v>
      </c>
      <c r="T13" s="5" t="n">
        <v>94010.11</v>
      </c>
      <c r="U13" s="5" t="n">
        <v>96034.53999999999</v>
      </c>
      <c r="V13" s="5" t="n">
        <v>97895.00999999999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4" customWidth="1" min="3" max="3"/>
    <col width="14" customWidth="1" min="4" max="4"/>
    <col width="12" customWidth="1" min="5" max="5"/>
    <col width="10" customWidth="1" min="6" max="6"/>
    <col width="5" customWidth="1" min="7" max="7"/>
    <col width="14" customWidth="1" min="8" max="8"/>
    <col width="14" customWidth="1" min="9" max="9"/>
    <col width="12" customWidth="1" min="10" max="10"/>
    <col width="10" customWidth="1" min="11" max="11"/>
    <col width="5" customWidth="1" min="12" max="12"/>
  </cols>
  <sheetData>
    <row r="1">
      <c r="A1" s="1" t="inlineStr">
        <is>
          <t>P&amp;L Summary — variance vs. budget (live formulas from Data grids)</t>
        </is>
      </c>
    </row>
    <row r="3">
      <c r="A3" s="4" t="inlineStr">
        <is>
          <t>Line</t>
        </is>
      </c>
      <c r="B3" s="4" t="inlineStr">
        <is>
          <t>Kind</t>
        </is>
      </c>
      <c r="C3" s="4" t="inlineStr">
        <is>
          <t>Sep-26 Budget</t>
        </is>
      </c>
      <c r="D3" s="4" t="inlineStr">
        <is>
          <t>Sep-26 Actual</t>
        </is>
      </c>
      <c r="E3" s="4" t="inlineStr">
        <is>
          <t>Sep Var $</t>
        </is>
      </c>
      <c r="F3" s="4" t="inlineStr">
        <is>
          <t>Sep Var %</t>
        </is>
      </c>
      <c r="G3" s="4" t="inlineStr">
        <is>
          <t>F/U</t>
        </is>
      </c>
      <c r="H3" s="4" t="inlineStr">
        <is>
          <t>FYTD Budget</t>
        </is>
      </c>
      <c r="I3" s="4" t="inlineStr">
        <is>
          <t>FYTD Actual</t>
        </is>
      </c>
      <c r="J3" s="4" t="inlineStr">
        <is>
          <t>FYTD Var $</t>
        </is>
      </c>
      <c r="K3" s="4" t="inlineStr">
        <is>
          <t>FYTD Var %</t>
        </is>
      </c>
      <c r="L3" s="4" t="inlineStr">
        <is>
          <t>F/U</t>
        </is>
      </c>
    </row>
    <row r="4">
      <c r="A4" t="inlineStr">
        <is>
          <t>Subscription Revenue</t>
        </is>
      </c>
      <c r="B4" t="inlineStr">
        <is>
          <t>revenue</t>
        </is>
      </c>
      <c r="C4" s="5">
        <f>'Data_Budget'!V2</f>
        <v/>
      </c>
      <c r="D4" s="5">
        <f>'Data_Actual'!V2</f>
        <v/>
      </c>
      <c r="E4" s="6">
        <f>D4-C4</f>
        <v/>
      </c>
      <c r="F4" s="7">
        <f>IF(C4=0,0,E4/C4)</f>
        <v/>
      </c>
      <c r="G4" t="inlineStr">
        <is>
          <t>U</t>
        </is>
      </c>
      <c r="H4" s="5">
        <f>SUM('Data_Budget'!N2:V2)</f>
        <v/>
      </c>
      <c r="I4" s="5">
        <f>SUM('Data_Actual'!N2:V2)</f>
        <v/>
      </c>
      <c r="J4" s="6">
        <f>I4-H4</f>
        <v/>
      </c>
      <c r="K4" s="7">
        <f>IF(H4=0,0,J4/H4)</f>
        <v/>
      </c>
      <c r="L4" t="inlineStr">
        <is>
          <t>U</t>
        </is>
      </c>
    </row>
    <row r="5">
      <c r="A5" t="inlineStr">
        <is>
          <t>Services Revenue</t>
        </is>
      </c>
      <c r="B5" t="inlineStr">
        <is>
          <t>revenue</t>
        </is>
      </c>
      <c r="C5" s="5">
        <f>'Data_Budget'!V3</f>
        <v/>
      </c>
      <c r="D5" s="5">
        <f>'Data_Actual'!V3</f>
        <v/>
      </c>
      <c r="E5" s="6">
        <f>D5-C5</f>
        <v/>
      </c>
      <c r="F5" s="7">
        <f>IF(C5=0,0,E5/C5)</f>
        <v/>
      </c>
      <c r="G5" t="inlineStr">
        <is>
          <t>F</t>
        </is>
      </c>
      <c r="H5" s="5">
        <f>SUM('Data_Budget'!N3:V3)</f>
        <v/>
      </c>
      <c r="I5" s="5">
        <f>SUM('Data_Actual'!N3:V3)</f>
        <v/>
      </c>
      <c r="J5" s="6">
        <f>I5-H5</f>
        <v/>
      </c>
      <c r="K5" s="7">
        <f>IF(H5=0,0,J5/H5)</f>
        <v/>
      </c>
      <c r="L5" t="inlineStr">
        <is>
          <t>F</t>
        </is>
      </c>
    </row>
    <row r="6">
      <c r="A6" t="inlineStr">
        <is>
          <t>Cloud Hosting</t>
        </is>
      </c>
      <c r="B6" t="inlineStr">
        <is>
          <t>cost</t>
        </is>
      </c>
      <c r="C6" s="5">
        <f>'Data_Budget'!V4</f>
        <v/>
      </c>
      <c r="D6" s="5">
        <f>'Data_Actual'!V4</f>
        <v/>
      </c>
      <c r="E6" s="6">
        <f>D6-C6</f>
        <v/>
      </c>
      <c r="F6" s="7">
        <f>IF(C6=0,0,E6/C6)</f>
        <v/>
      </c>
      <c r="G6" t="inlineStr">
        <is>
          <t>U</t>
        </is>
      </c>
      <c r="H6" s="5">
        <f>SUM('Data_Budget'!N4:V4)</f>
        <v/>
      </c>
      <c r="I6" s="5">
        <f>SUM('Data_Actual'!N4:V4)</f>
        <v/>
      </c>
      <c r="J6" s="6">
        <f>I6-H6</f>
        <v/>
      </c>
      <c r="K6" s="7">
        <f>IF(H6=0,0,J6/H6)</f>
        <v/>
      </c>
      <c r="L6" t="inlineStr">
        <is>
          <t>U</t>
        </is>
      </c>
    </row>
    <row r="7">
      <c r="A7" t="inlineStr">
        <is>
          <t>Support Labor</t>
        </is>
      </c>
      <c r="B7" t="inlineStr">
        <is>
          <t>cost</t>
        </is>
      </c>
      <c r="C7" s="5">
        <f>'Data_Budget'!V5</f>
        <v/>
      </c>
      <c r="D7" s="5">
        <f>'Data_Actual'!V5</f>
        <v/>
      </c>
      <c r="E7" s="6">
        <f>D7-C7</f>
        <v/>
      </c>
      <c r="F7" s="7">
        <f>IF(C7=0,0,E7/C7)</f>
        <v/>
      </c>
      <c r="G7" t="inlineStr">
        <is>
          <t>F</t>
        </is>
      </c>
      <c r="H7" s="5">
        <f>SUM('Data_Budget'!N5:V5)</f>
        <v/>
      </c>
      <c r="I7" s="5">
        <f>SUM('Data_Actual'!N5:V5)</f>
        <v/>
      </c>
      <c r="J7" s="6">
        <f>I7-H7</f>
        <v/>
      </c>
      <c r="K7" s="7">
        <f>IF(H7=0,0,J7/H7)</f>
        <v/>
      </c>
      <c r="L7" t="inlineStr">
        <is>
          <t>F</t>
        </is>
      </c>
    </row>
    <row r="8">
      <c r="A8" t="inlineStr">
        <is>
          <t>Engineering Labor</t>
        </is>
      </c>
      <c r="B8" t="inlineStr">
        <is>
          <t>cost</t>
        </is>
      </c>
      <c r="C8" s="5">
        <f>'Data_Budget'!V6</f>
        <v/>
      </c>
      <c r="D8" s="5">
        <f>'Data_Actual'!V6</f>
        <v/>
      </c>
      <c r="E8" s="6">
        <f>D8-C8</f>
        <v/>
      </c>
      <c r="F8" s="7">
        <f>IF(C8=0,0,E8/C8)</f>
        <v/>
      </c>
      <c r="G8" t="inlineStr">
        <is>
          <t>F</t>
        </is>
      </c>
      <c r="H8" s="5">
        <f>SUM('Data_Budget'!N6:V6)</f>
        <v/>
      </c>
      <c r="I8" s="5">
        <f>SUM('Data_Actual'!N6:V6)</f>
        <v/>
      </c>
      <c r="J8" s="6">
        <f>I8-H8</f>
        <v/>
      </c>
      <c r="K8" s="7">
        <f>IF(H8=0,0,J8/H8)</f>
        <v/>
      </c>
      <c r="L8" t="inlineStr">
        <is>
          <t>F</t>
        </is>
      </c>
    </row>
    <row r="9">
      <c r="A9" t="inlineStr">
        <is>
          <t>Software &amp; Tools</t>
        </is>
      </c>
      <c r="B9" t="inlineStr">
        <is>
          <t>cost</t>
        </is>
      </c>
      <c r="C9" s="5">
        <f>'Data_Budget'!V7</f>
        <v/>
      </c>
      <c r="D9" s="5">
        <f>'Data_Actual'!V7</f>
        <v/>
      </c>
      <c r="E9" s="6">
        <f>D9-C9</f>
        <v/>
      </c>
      <c r="F9" s="7">
        <f>IF(C9=0,0,E9/C9)</f>
        <v/>
      </c>
      <c r="G9" t="inlineStr">
        <is>
          <t>U</t>
        </is>
      </c>
      <c r="H9" s="5">
        <f>SUM('Data_Budget'!N7:V7)</f>
        <v/>
      </c>
      <c r="I9" s="5">
        <f>SUM('Data_Actual'!N7:V7)</f>
        <v/>
      </c>
      <c r="J9" s="6">
        <f>I9-H9</f>
        <v/>
      </c>
      <c r="K9" s="7">
        <f>IF(H9=0,0,J9/H9)</f>
        <v/>
      </c>
      <c r="L9" t="inlineStr">
        <is>
          <t>U</t>
        </is>
      </c>
    </row>
    <row r="10">
      <c r="A10" t="inlineStr">
        <is>
          <t>Sales &amp; Marketing Labor</t>
        </is>
      </c>
      <c r="B10" t="inlineStr">
        <is>
          <t>cost</t>
        </is>
      </c>
      <c r="C10" s="5">
        <f>'Data_Budget'!V8</f>
        <v/>
      </c>
      <c r="D10" s="5">
        <f>'Data_Actual'!V8</f>
        <v/>
      </c>
      <c r="E10" s="6">
        <f>D10-C10</f>
        <v/>
      </c>
      <c r="F10" s="7">
        <f>IF(C10=0,0,E10/C10)</f>
        <v/>
      </c>
      <c r="G10" t="inlineStr">
        <is>
          <t>F</t>
        </is>
      </c>
      <c r="H10" s="5">
        <f>SUM('Data_Budget'!N8:V8)</f>
        <v/>
      </c>
      <c r="I10" s="5">
        <f>SUM('Data_Actual'!N8:V8)</f>
        <v/>
      </c>
      <c r="J10" s="6">
        <f>I10-H10</f>
        <v/>
      </c>
      <c r="K10" s="7">
        <f>IF(H10=0,0,J10/H10)</f>
        <v/>
      </c>
      <c r="L10" t="inlineStr">
        <is>
          <t>U</t>
        </is>
      </c>
    </row>
    <row r="11">
      <c r="A11" t="inlineStr">
        <is>
          <t>Marketing Programs</t>
        </is>
      </c>
      <c r="B11" t="inlineStr">
        <is>
          <t>cost</t>
        </is>
      </c>
      <c r="C11" s="5">
        <f>'Data_Budget'!V9</f>
        <v/>
      </c>
      <c r="D11" s="5">
        <f>'Data_Actual'!V9</f>
        <v/>
      </c>
      <c r="E11" s="6">
        <f>D11-C11</f>
        <v/>
      </c>
      <c r="F11" s="7">
        <f>IF(C11=0,0,E11/C11)</f>
        <v/>
      </c>
      <c r="G11" t="inlineStr">
        <is>
          <t>U</t>
        </is>
      </c>
      <c r="H11" s="5">
        <f>SUM('Data_Budget'!N9:V9)</f>
        <v/>
      </c>
      <c r="I11" s="5">
        <f>SUM('Data_Actual'!N9:V9)</f>
        <v/>
      </c>
      <c r="J11" s="6">
        <f>I11-H11</f>
        <v/>
      </c>
      <c r="K11" s="7">
        <f>IF(H11=0,0,J11/H11)</f>
        <v/>
      </c>
      <c r="L11" t="inlineStr">
        <is>
          <t>F</t>
        </is>
      </c>
    </row>
    <row r="12">
      <c r="A12" t="inlineStr">
        <is>
          <t>Customer Success Labor</t>
        </is>
      </c>
      <c r="B12" t="inlineStr">
        <is>
          <t>cost</t>
        </is>
      </c>
      <c r="C12" s="5">
        <f>'Data_Budget'!V10</f>
        <v/>
      </c>
      <c r="D12" s="5">
        <f>'Data_Actual'!V10</f>
        <v/>
      </c>
      <c r="E12" s="6">
        <f>D12-C12</f>
        <v/>
      </c>
      <c r="F12" s="7">
        <f>IF(C12=0,0,E12/C12)</f>
        <v/>
      </c>
      <c r="G12" t="inlineStr">
        <is>
          <t>F</t>
        </is>
      </c>
      <c r="H12" s="5">
        <f>SUM('Data_Budget'!N10:V10)</f>
        <v/>
      </c>
      <c r="I12" s="5">
        <f>SUM('Data_Actual'!N10:V10)</f>
        <v/>
      </c>
      <c r="J12" s="6">
        <f>I12-H12</f>
        <v/>
      </c>
      <c r="K12" s="7">
        <f>IF(H12=0,0,J12/H12)</f>
        <v/>
      </c>
      <c r="L12" t="inlineStr">
        <is>
          <t>U</t>
        </is>
      </c>
    </row>
    <row r="13">
      <c r="A13" t="inlineStr">
        <is>
          <t>G&amp;A Labor</t>
        </is>
      </c>
      <c r="B13" t="inlineStr">
        <is>
          <t>cost</t>
        </is>
      </c>
      <c r="C13" s="5">
        <f>'Data_Budget'!V11</f>
        <v/>
      </c>
      <c r="D13" s="5">
        <f>'Data_Actual'!V11</f>
        <v/>
      </c>
      <c r="E13" s="6">
        <f>D13-C13</f>
        <v/>
      </c>
      <c r="F13" s="7">
        <f>IF(C13=0,0,E13/C13)</f>
        <v/>
      </c>
      <c r="G13" t="inlineStr">
        <is>
          <t>F</t>
        </is>
      </c>
      <c r="H13" s="5">
        <f>SUM('Data_Budget'!N11:V11)</f>
        <v/>
      </c>
      <c r="I13" s="5">
        <f>SUM('Data_Actual'!N11:V11)</f>
        <v/>
      </c>
      <c r="J13" s="6">
        <f>I13-H13</f>
        <v/>
      </c>
      <c r="K13" s="7">
        <f>IF(H13=0,0,J13/H13)</f>
        <v/>
      </c>
      <c r="L13" t="inlineStr">
        <is>
          <t>U</t>
        </is>
      </c>
    </row>
    <row r="14">
      <c r="A14" t="inlineStr">
        <is>
          <t>Legal &amp; Professional</t>
        </is>
      </c>
      <c r="B14" t="inlineStr">
        <is>
          <t>cost</t>
        </is>
      </c>
      <c r="C14" s="5">
        <f>'Data_Budget'!V12</f>
        <v/>
      </c>
      <c r="D14" s="5">
        <f>'Data_Actual'!V12</f>
        <v/>
      </c>
      <c r="E14" s="6">
        <f>D14-C14</f>
        <v/>
      </c>
      <c r="F14" s="7">
        <f>IF(C14=0,0,E14/C14)</f>
        <v/>
      </c>
      <c r="G14" t="inlineStr">
        <is>
          <t>F</t>
        </is>
      </c>
      <c r="H14" s="5">
        <f>SUM('Data_Budget'!N12:V12)</f>
        <v/>
      </c>
      <c r="I14" s="5">
        <f>SUM('Data_Actual'!N12:V12)</f>
        <v/>
      </c>
      <c r="J14" s="6">
        <f>I14-H14</f>
        <v/>
      </c>
      <c r="K14" s="7">
        <f>IF(H14=0,0,J14/H14)</f>
        <v/>
      </c>
      <c r="L14" t="inlineStr">
        <is>
          <t>U</t>
        </is>
      </c>
    </row>
    <row r="15">
      <c r="A15" t="inlineStr">
        <is>
          <t>Facilities &amp; Other</t>
        </is>
      </c>
      <c r="B15" t="inlineStr">
        <is>
          <t>cost</t>
        </is>
      </c>
      <c r="C15" s="5">
        <f>'Data_Budget'!V13</f>
        <v/>
      </c>
      <c r="D15" s="5">
        <f>'Data_Actual'!V13</f>
        <v/>
      </c>
      <c r="E15" s="6">
        <f>D15-C15</f>
        <v/>
      </c>
      <c r="F15" s="7">
        <f>IF(C15=0,0,E15/C15)</f>
        <v/>
      </c>
      <c r="G15" t="inlineStr">
        <is>
          <t>U</t>
        </is>
      </c>
      <c r="H15" s="5">
        <f>SUM('Data_Budget'!N13:V13)</f>
        <v/>
      </c>
      <c r="I15" s="5">
        <f>SUM('Data_Actual'!N13:V13)</f>
        <v/>
      </c>
      <c r="J15" s="6">
        <f>I15-H15</f>
        <v/>
      </c>
      <c r="K15" s="7">
        <f>IF(H15=0,0,J15/H15)</f>
        <v/>
      </c>
      <c r="L15" t="inlineStr">
        <is>
          <t>U</t>
        </is>
      </c>
    </row>
    <row r="16">
      <c r="A16" s="3" t="inlineStr">
        <is>
          <t>Total Revenue</t>
        </is>
      </c>
      <c r="C16" s="8">
        <f>C4+C5</f>
        <v/>
      </c>
      <c r="D16" s="8">
        <f>D4+D5</f>
        <v/>
      </c>
      <c r="E16" s="9">
        <f>E4+E5</f>
        <v/>
      </c>
      <c r="F16" s="10">
        <f>IF(C16=0,0,E16/C16)</f>
        <v/>
      </c>
      <c r="H16" s="8">
        <f>H4+H5</f>
        <v/>
      </c>
      <c r="I16" s="8">
        <f>I4+I5</f>
        <v/>
      </c>
      <c r="J16" s="9">
        <f>J4+J5</f>
        <v/>
      </c>
      <c r="K16" s="10">
        <f>IF(H16=0,0,J16/H16)</f>
        <v/>
      </c>
    </row>
    <row r="17">
      <c r="A17" s="3" t="inlineStr">
        <is>
          <t>Total Costs</t>
        </is>
      </c>
      <c r="C17" s="8">
        <f>C6+C7+C8+C9+C10+C11+C12+C13+C14+C15</f>
        <v/>
      </c>
      <c r="D17" s="8">
        <f>D6+D7+D8+D9+D10+D11+D12+D13+D14+D15</f>
        <v/>
      </c>
      <c r="E17" s="9">
        <f>E6+E7+E8+E9+E10+E11+E12+E13+E14+E15</f>
        <v/>
      </c>
      <c r="F17" s="10">
        <f>IF(C17=0,0,E17/C17)</f>
        <v/>
      </c>
      <c r="H17" s="8">
        <f>H6+H7+H8+H9+H10+H11+H12+H13+H14+H15</f>
        <v/>
      </c>
      <c r="I17" s="8">
        <f>I6+I7+I8+I9+I10+I11+I12+I13+I14+I15</f>
        <v/>
      </c>
      <c r="J17" s="9">
        <f>J6+J7+J8+J9+J10+J11+J12+J13+J14+J15</f>
        <v/>
      </c>
      <c r="K17" s="10">
        <f>IF(H17=0,0,J17/H17)</f>
        <v/>
      </c>
    </row>
    <row r="18">
      <c r="A18" s="3" t="inlineStr">
        <is>
          <t>Operating Result</t>
        </is>
      </c>
      <c r="C18" s="8">
        <f>C16-C17</f>
        <v/>
      </c>
      <c r="D18" s="8">
        <f>D16-D17</f>
        <v/>
      </c>
      <c r="E18" s="9">
        <f>E16-E17</f>
        <v/>
      </c>
      <c r="F18" s="10">
        <f>IF(C16=0,0,E18/C16)</f>
        <v/>
      </c>
      <c r="H18" s="8">
        <f>H16-H17</f>
        <v/>
      </c>
      <c r="I18" s="8">
        <f>I16-I17</f>
        <v/>
      </c>
      <c r="J18" s="9">
        <f>J16-J17</f>
        <v/>
      </c>
      <c r="K18" s="10">
        <f>IF(H16=0,0,J18/H16)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6" customWidth="1" min="7" max="7"/>
    <col width="8" customWidth="1" min="8" max="8"/>
    <col width="12" customWidth="1" min="9" max="9"/>
    <col width="8" customWidth="1" min="10" max="10"/>
    <col width="7" customWidth="1" min="11" max="11"/>
  </cols>
  <sheetData>
    <row r="1">
      <c r="A1" s="1" t="inlineStr">
        <is>
          <t>September 2026 — line detail and flags</t>
        </is>
      </c>
    </row>
    <row r="3">
      <c r="A3" s="4" t="inlineStr">
        <is>
          <t>Line</t>
        </is>
      </c>
      <c r="B3" s="4" t="inlineStr">
        <is>
          <t>Dept</t>
        </is>
      </c>
      <c r="C3" s="4" t="inlineStr">
        <is>
          <t>Budget</t>
        </is>
      </c>
      <c r="D3" s="4" t="inlineStr">
        <is>
          <t>Actual</t>
        </is>
      </c>
      <c r="E3" s="4" t="inlineStr">
        <is>
          <t>Var $</t>
        </is>
      </c>
      <c r="F3" s="4" t="inlineStr">
        <is>
          <t>Var %</t>
        </is>
      </c>
      <c r="G3" s="4" t="inlineStr">
        <is>
          <t>F/U</t>
        </is>
      </c>
      <c r="H3" s="4" t="inlineStr">
        <is>
          <t>Tier</t>
        </is>
      </c>
      <c r="I3" s="4" t="inlineStr">
        <is>
          <t>Materiality</t>
        </is>
      </c>
      <c r="J3" s="4" t="inlineStr">
        <is>
          <t>Z-flag</t>
        </is>
      </c>
      <c r="K3" s="4" t="inlineStr">
        <is>
          <t>Z</t>
        </is>
      </c>
    </row>
    <row r="4">
      <c r="A4" t="inlineStr">
        <is>
          <t>Engineering Labor</t>
        </is>
      </c>
      <c r="B4" t="inlineStr">
        <is>
          <t>R&amp;D</t>
        </is>
      </c>
      <c r="C4" s="5" t="n">
        <v>979857.6899999999</v>
      </c>
      <c r="D4" s="5" t="n">
        <v>966135.5</v>
      </c>
      <c r="E4" s="6" t="n">
        <v>-13722.18999999994</v>
      </c>
      <c r="F4" s="7" t="n">
        <v>-0.014</v>
      </c>
      <c r="G4" t="inlineStr">
        <is>
          <t>F</t>
        </is>
      </c>
      <c r="H4" t="inlineStr"/>
      <c r="I4" t="inlineStr"/>
      <c r="J4" t="inlineStr"/>
      <c r="K4" s="11" t="n">
        <v>0.64</v>
      </c>
    </row>
    <row r="5">
      <c r="A5" t="inlineStr">
        <is>
          <t>Subscription Revenue</t>
        </is>
      </c>
      <c r="B5" t="inlineStr">
        <is>
          <t>Revenue</t>
        </is>
      </c>
      <c r="C5" s="5" t="n">
        <v>3106481.01</v>
      </c>
      <c r="D5" s="5" t="n">
        <v>3099589.75</v>
      </c>
      <c r="E5" s="6" t="n">
        <v>-6891.259999999776</v>
      </c>
      <c r="F5" s="7" t="n">
        <v>-0.0022</v>
      </c>
      <c r="G5" t="inlineStr">
        <is>
          <t>U</t>
        </is>
      </c>
      <c r="H5" t="inlineStr"/>
      <c r="I5" t="inlineStr"/>
      <c r="J5" t="inlineStr"/>
      <c r="K5" s="11" t="n">
        <v>0.35</v>
      </c>
    </row>
    <row r="6">
      <c r="A6" t="inlineStr">
        <is>
          <t>Sales &amp; Marketing Labor</t>
        </is>
      </c>
      <c r="B6" t="inlineStr">
        <is>
          <t>S&amp;M</t>
        </is>
      </c>
      <c r="C6" s="5" t="n">
        <v>703305.67</v>
      </c>
      <c r="D6" s="5" t="n">
        <v>696848.3</v>
      </c>
      <c r="E6" s="6" t="n">
        <v>-6457.369999999995</v>
      </c>
      <c r="F6" s="7" t="n">
        <v>-0.0092</v>
      </c>
      <c r="G6" t="inlineStr">
        <is>
          <t>F</t>
        </is>
      </c>
      <c r="H6" t="inlineStr"/>
      <c r="I6" t="inlineStr"/>
      <c r="J6" t="inlineStr"/>
      <c r="K6" s="11" t="n">
        <v>-0</v>
      </c>
    </row>
    <row r="7">
      <c r="A7" t="inlineStr">
        <is>
          <t>Customer Success Labor</t>
        </is>
      </c>
      <c r="B7" t="inlineStr">
        <is>
          <t>CS</t>
        </is>
      </c>
      <c r="C7" s="5" t="n">
        <v>253772.75</v>
      </c>
      <c r="D7" s="5" t="n">
        <v>248564.72</v>
      </c>
      <c r="E7" s="6" t="n">
        <v>-5208.029999999999</v>
      </c>
      <c r="F7" s="7" t="n">
        <v>-0.0205</v>
      </c>
      <c r="G7" t="inlineStr">
        <is>
          <t>F</t>
        </is>
      </c>
      <c r="H7" t="inlineStr"/>
      <c r="I7" t="inlineStr"/>
      <c r="J7" t="inlineStr"/>
      <c r="K7" s="11" t="n">
        <v>-1.63</v>
      </c>
    </row>
    <row r="8">
      <c r="A8" t="inlineStr">
        <is>
          <t>Services Revenue</t>
        </is>
      </c>
      <c r="B8" t="inlineStr">
        <is>
          <t>Revenue</t>
        </is>
      </c>
      <c r="C8" s="5" t="n">
        <v>225735.16</v>
      </c>
      <c r="D8" s="5" t="n">
        <v>229413.43</v>
      </c>
      <c r="E8" s="6" t="n">
        <v>3678.26999999999</v>
      </c>
      <c r="F8" s="7" t="n">
        <v>0.0163</v>
      </c>
      <c r="G8" t="inlineStr">
        <is>
          <t>F</t>
        </is>
      </c>
      <c r="H8" t="inlineStr"/>
      <c r="I8" t="inlineStr"/>
      <c r="J8" t="inlineStr"/>
      <c r="K8" s="11" t="n">
        <v>0.5</v>
      </c>
    </row>
    <row r="9">
      <c r="A9" t="inlineStr">
        <is>
          <t>Legal &amp; Professional</t>
        </is>
      </c>
      <c r="B9" t="inlineStr">
        <is>
          <t>G&amp;A</t>
        </is>
      </c>
      <c r="C9" s="5" t="n">
        <v>58488.17</v>
      </c>
      <c r="D9" s="5" t="n">
        <v>55064.41</v>
      </c>
      <c r="E9" s="6" t="n">
        <v>-3423.759999999995</v>
      </c>
      <c r="F9" s="7" t="n">
        <v>-0.0585</v>
      </c>
      <c r="G9" t="inlineStr">
        <is>
          <t>F</t>
        </is>
      </c>
      <c r="H9" t="inlineStr"/>
      <c r="I9" t="inlineStr"/>
      <c r="J9" t="inlineStr"/>
      <c r="K9" s="11" t="n">
        <v>-0.47</v>
      </c>
    </row>
    <row r="10">
      <c r="A10" t="inlineStr">
        <is>
          <t>Marketing Programs</t>
        </is>
      </c>
      <c r="B10" t="inlineStr">
        <is>
          <t>S&amp;M</t>
        </is>
      </c>
      <c r="C10" s="5" t="n">
        <v>173569.08</v>
      </c>
      <c r="D10" s="5" t="n">
        <v>175573.55</v>
      </c>
      <c r="E10" s="6" t="n">
        <v>2004.470000000001</v>
      </c>
      <c r="F10" s="7" t="n">
        <v>0.0115</v>
      </c>
      <c r="G10" t="inlineStr">
        <is>
          <t>U</t>
        </is>
      </c>
      <c r="H10" t="inlineStr"/>
      <c r="I10" t="inlineStr"/>
      <c r="J10" t="inlineStr"/>
      <c r="K10" s="11" t="n">
        <v>0.12</v>
      </c>
    </row>
    <row r="11">
      <c r="A11" t="inlineStr">
        <is>
          <t>Cloud Hosting</t>
        </is>
      </c>
      <c r="B11" t="inlineStr">
        <is>
          <t>COGS</t>
        </is>
      </c>
      <c r="C11" s="5" t="n">
        <v>606699.17</v>
      </c>
      <c r="D11" s="5" t="n">
        <v>608674.02</v>
      </c>
      <c r="E11" s="6" t="n">
        <v>1974.849999999977</v>
      </c>
      <c r="F11" s="7" t="n">
        <v>0.0033</v>
      </c>
      <c r="G11" t="inlineStr">
        <is>
          <t>U</t>
        </is>
      </c>
      <c r="H11" t="inlineStr"/>
      <c r="I11" t="inlineStr"/>
      <c r="J11" t="inlineStr"/>
      <c r="K11" s="11" t="n">
        <v>-0.37</v>
      </c>
    </row>
    <row r="12">
      <c r="A12" t="inlineStr">
        <is>
          <t>Support Labor</t>
        </is>
      </c>
      <c r="B12" t="inlineStr">
        <is>
          <t>COGS</t>
        </is>
      </c>
      <c r="C12" s="5" t="n">
        <v>340208.41</v>
      </c>
      <c r="D12" s="5" t="n">
        <v>338260.35</v>
      </c>
      <c r="E12" s="6" t="n">
        <v>-1948.059999999998</v>
      </c>
      <c r="F12" s="7" t="n">
        <v>-0.005699999999999999</v>
      </c>
      <c r="G12" t="inlineStr">
        <is>
          <t>F</t>
        </is>
      </c>
      <c r="H12" t="inlineStr"/>
      <c r="I12" t="inlineStr"/>
      <c r="J12" t="inlineStr"/>
      <c r="K12" s="11" t="n">
        <v>-0.72</v>
      </c>
    </row>
    <row r="13">
      <c r="A13" t="inlineStr">
        <is>
          <t>G&amp;A Labor</t>
        </is>
      </c>
      <c r="B13" t="inlineStr">
        <is>
          <t>G&amp;A</t>
        </is>
      </c>
      <c r="C13" s="5" t="n">
        <v>290405.23</v>
      </c>
      <c r="D13" s="5" t="n">
        <v>288949.76</v>
      </c>
      <c r="E13" s="6" t="n">
        <v>-1455.469999999972</v>
      </c>
      <c r="F13" s="7" t="n">
        <v>-0.005</v>
      </c>
      <c r="G13" t="inlineStr">
        <is>
          <t>F</t>
        </is>
      </c>
      <c r="H13" t="inlineStr"/>
      <c r="I13" t="inlineStr"/>
      <c r="J13" t="inlineStr"/>
      <c r="K13" s="11" t="n">
        <v>-0.23</v>
      </c>
    </row>
    <row r="14">
      <c r="A14" t="inlineStr">
        <is>
          <t>Software &amp; Tools</t>
        </is>
      </c>
      <c r="B14" t="inlineStr">
        <is>
          <t>R&amp;D</t>
        </is>
      </c>
      <c r="C14" s="5" t="n">
        <v>121865.7</v>
      </c>
      <c r="D14" s="5" t="n">
        <v>122952.96</v>
      </c>
      <c r="E14" s="6" t="n">
        <v>1087.260000000009</v>
      </c>
      <c r="F14" s="7" t="n">
        <v>0.0089</v>
      </c>
      <c r="G14" t="inlineStr">
        <is>
          <t>U</t>
        </is>
      </c>
      <c r="H14" t="inlineStr"/>
      <c r="I14" t="inlineStr"/>
      <c r="J14" t="inlineStr"/>
      <c r="K14" s="11" t="n">
        <v>0.16</v>
      </c>
    </row>
    <row r="15">
      <c r="A15" t="inlineStr">
        <is>
          <t>Facilities &amp; Other</t>
        </is>
      </c>
      <c r="B15" t="inlineStr">
        <is>
          <t>G&amp;A</t>
        </is>
      </c>
      <c r="C15" s="5" t="n">
        <v>97230.81</v>
      </c>
      <c r="D15" s="5" t="n">
        <v>97895.00999999999</v>
      </c>
      <c r="E15" s="6" t="n">
        <v>664.1999999999971</v>
      </c>
      <c r="F15" s="7" t="n">
        <v>0.0068</v>
      </c>
      <c r="G15" t="inlineStr">
        <is>
          <t>U</t>
        </is>
      </c>
      <c r="H15" t="inlineStr"/>
      <c r="I15" t="inlineStr"/>
      <c r="J15" t="inlineStr"/>
      <c r="K15" s="11" t="n">
        <v>0.11</v>
      </c>
    </row>
    <row r="17">
      <c r="A17" s="3" t="inlineStr">
        <is>
          <t>Labor decomposition — FY2026 to date (Jan–Sep): volume = headcount effect, rate = cost per head</t>
        </is>
      </c>
    </row>
    <row r="18">
      <c r="A18" s="4" t="inlineStr">
        <is>
          <t>Line</t>
        </is>
      </c>
      <c r="B18" s="4" t="inlineStr">
        <is>
          <t>HC Budget (avg)</t>
        </is>
      </c>
      <c r="C18" s="4" t="inlineStr">
        <is>
          <t>HC Actual (avg)</t>
        </is>
      </c>
      <c r="D18" s="4" t="inlineStr">
        <is>
          <t>Volume var $</t>
        </is>
      </c>
      <c r="E18" s="4" t="inlineStr">
        <is>
          <t>Rate var $</t>
        </is>
      </c>
      <c r="F18" s="4" t="inlineStr">
        <is>
          <t>Total var $</t>
        </is>
      </c>
    </row>
    <row r="19">
      <c r="A19" t="inlineStr">
        <is>
          <t>Customer Success Labor</t>
        </is>
      </c>
      <c r="B19" t="n">
        <v>32</v>
      </c>
      <c r="C19" t="n">
        <v>31.8</v>
      </c>
      <c r="D19" s="6" t="n">
        <v>-12052</v>
      </c>
      <c r="E19" s="6" t="n">
        <v>17843</v>
      </c>
      <c r="F19" s="6" t="n">
        <v>5791</v>
      </c>
    </row>
    <row r="20">
      <c r="A20" t="inlineStr">
        <is>
          <t>Engineering Labor</t>
        </is>
      </c>
      <c r="B20" t="n">
        <v>107.5</v>
      </c>
      <c r="C20" t="n">
        <v>103.8</v>
      </c>
      <c r="D20" s="6" t="n">
        <v>-284800</v>
      </c>
      <c r="E20" s="6" t="n">
        <v>-81735</v>
      </c>
      <c r="F20" s="6" t="n">
        <v>-366534</v>
      </c>
    </row>
    <row r="21">
      <c r="A21" t="inlineStr">
        <is>
          <t>G&amp;A Labor</t>
        </is>
      </c>
      <c r="B21" t="n">
        <v>28.1</v>
      </c>
      <c r="C21" t="n">
        <v>28.3</v>
      </c>
      <c r="D21" s="6" t="n">
        <v>16842</v>
      </c>
      <c r="E21" s="6" t="n">
        <v>-5346</v>
      </c>
      <c r="F21" s="6" t="n">
        <v>11495</v>
      </c>
    </row>
    <row r="22">
      <c r="A22" t="inlineStr">
        <is>
          <t>Sales &amp; Marketing Labor</t>
        </is>
      </c>
      <c r="B22" t="n">
        <v>73.59999999999999</v>
      </c>
      <c r="C22" t="n">
        <v>74.09999999999999</v>
      </c>
      <c r="D22" s="6" t="n">
        <v>40412</v>
      </c>
      <c r="E22" s="6" t="n">
        <v>-37514</v>
      </c>
      <c r="F22" s="6" t="n">
        <v>2898</v>
      </c>
    </row>
    <row r="23">
      <c r="A23" t="inlineStr">
        <is>
          <t>Support Labor</t>
        </is>
      </c>
      <c r="B23" t="n">
        <v>41.2</v>
      </c>
      <c r="C23" t="n">
        <v>41.3</v>
      </c>
      <c r="D23" s="6" t="n">
        <v>7883</v>
      </c>
      <c r="E23" s="6" t="n">
        <v>-9258</v>
      </c>
      <c r="F23" s="6" t="n">
        <v>-1375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8" customWidth="1" min="4" max="4"/>
    <col width="13" customWidth="1" min="5" max="5"/>
    <col width="13" customWidth="1" min="6" max="6"/>
    <col width="12" customWidth="1" min="7" max="7"/>
    <col width="9" customWidth="1" min="8" max="8"/>
    <col width="5" customWidth="1" min="9" max="9"/>
    <col width="13" customWidth="1" min="10" max="10"/>
  </cols>
  <sheetData>
    <row r="1">
      <c r="A1" s="1" t="inlineStr">
        <is>
          <t>Anomaly log — all flagged line-months (Jan 2025 – Sep 2026)</t>
        </is>
      </c>
    </row>
    <row r="2">
      <c r="A2" s="2" t="inlineStr">
        <is>
          <t>Validation vs. ground truth: 10 of 11 planted event line-months caught (recall 91%); 20 of 252 line-months flagged for review; 10 false positives. Materiality layer alone: 9 caught, 0 false positives. Statistical layer adds recall at the cost of review volume.</t>
        </is>
      </c>
    </row>
    <row r="4">
      <c r="A4" s="4" t="inlineStr">
        <is>
          <t>Month</t>
        </is>
      </c>
      <c r="B4" s="4" t="inlineStr">
        <is>
          <t>Line</t>
        </is>
      </c>
      <c r="C4" s="4" t="inlineStr">
        <is>
          <t>Kind</t>
        </is>
      </c>
      <c r="D4" s="4" t="inlineStr">
        <is>
          <t>Tier</t>
        </is>
      </c>
      <c r="E4" s="4" t="inlineStr">
        <is>
          <t>Budget</t>
        </is>
      </c>
      <c r="F4" s="4" t="inlineStr">
        <is>
          <t>Actual</t>
        </is>
      </c>
      <c r="G4" s="4" t="inlineStr">
        <is>
          <t>Var $</t>
        </is>
      </c>
      <c r="H4" s="4" t="inlineStr">
        <is>
          <t>Var %</t>
        </is>
      </c>
      <c r="I4" s="4" t="inlineStr">
        <is>
          <t>F/U</t>
        </is>
      </c>
      <c r="J4" s="4" t="inlineStr">
        <is>
          <t>Planted event</t>
        </is>
      </c>
    </row>
    <row r="5">
      <c r="A5" t="inlineStr">
        <is>
          <t>2025-05</t>
        </is>
      </c>
      <c r="B5" t="inlineStr">
        <is>
          <t>Marketing Programs</t>
        </is>
      </c>
      <c r="C5" t="inlineStr">
        <is>
          <t>cost</t>
        </is>
      </c>
      <c r="D5" t="inlineStr">
        <is>
          <t>Watch</t>
        </is>
      </c>
      <c r="E5" s="5" t="n">
        <v>152793.14</v>
      </c>
      <c r="F5" s="5" t="n">
        <v>148045.91</v>
      </c>
      <c r="G5" s="6" t="n">
        <v>-4747.23000000001</v>
      </c>
      <c r="H5" s="7" t="n">
        <v>-0.0311</v>
      </c>
      <c r="I5" t="inlineStr">
        <is>
          <t>F</t>
        </is>
      </c>
      <c r="J5" t="inlineStr"/>
    </row>
    <row r="6">
      <c r="A6" t="inlineStr">
        <is>
          <t>2025-05</t>
        </is>
      </c>
      <c r="B6" t="inlineStr">
        <is>
          <t>Software &amp; Tools</t>
        </is>
      </c>
      <c r="C6" t="inlineStr">
        <is>
          <t>cost</t>
        </is>
      </c>
      <c r="D6" t="inlineStr">
        <is>
          <t>Watch</t>
        </is>
      </c>
      <c r="E6" s="5" t="n">
        <v>100691.61</v>
      </c>
      <c r="F6" s="5" t="n">
        <v>96343.44</v>
      </c>
      <c r="G6" s="6" t="n">
        <v>-4348.169999999998</v>
      </c>
      <c r="H6" s="7" t="n">
        <v>-0.0432</v>
      </c>
      <c r="I6" t="inlineStr">
        <is>
          <t>F</t>
        </is>
      </c>
      <c r="J6" t="inlineStr"/>
    </row>
    <row r="7">
      <c r="A7" t="inlineStr">
        <is>
          <t>2025-06</t>
        </is>
      </c>
      <c r="B7" t="inlineStr">
        <is>
          <t>Facilities &amp; Other</t>
        </is>
      </c>
      <c r="C7" t="inlineStr">
        <is>
          <t>cost</t>
        </is>
      </c>
      <c r="D7" t="inlineStr">
        <is>
          <t>Watch</t>
        </is>
      </c>
      <c r="E7" s="5" t="n">
        <v>90222.11</v>
      </c>
      <c r="F7" s="5" t="n">
        <v>86347.45</v>
      </c>
      <c r="G7" s="6" t="n">
        <v>-3874.660000000003</v>
      </c>
      <c r="H7" s="7" t="n">
        <v>-0.0429</v>
      </c>
      <c r="I7" t="inlineStr">
        <is>
          <t>F</t>
        </is>
      </c>
      <c r="J7" t="inlineStr"/>
    </row>
    <row r="8">
      <c r="A8" t="inlineStr">
        <is>
          <t>2025-06</t>
        </is>
      </c>
      <c r="B8" t="inlineStr">
        <is>
          <t>Marketing Programs</t>
        </is>
      </c>
      <c r="C8" t="inlineStr">
        <is>
          <t>cost</t>
        </is>
      </c>
      <c r="D8" t="inlineStr">
        <is>
          <t>Watch</t>
        </is>
      </c>
      <c r="E8" s="5" t="n">
        <v>154015.48</v>
      </c>
      <c r="F8" s="5" t="n">
        <v>146277.67</v>
      </c>
      <c r="G8" s="6" t="n">
        <v>-7737.809999999998</v>
      </c>
      <c r="H8" s="7" t="n">
        <v>-0.05019999999999999</v>
      </c>
      <c r="I8" t="inlineStr">
        <is>
          <t>F</t>
        </is>
      </c>
      <c r="J8" t="inlineStr"/>
    </row>
    <row r="9">
      <c r="A9" t="inlineStr">
        <is>
          <t>2025-09</t>
        </is>
      </c>
      <c r="B9" t="inlineStr">
        <is>
          <t>Marketing Programs</t>
        </is>
      </c>
      <c r="C9" t="inlineStr">
        <is>
          <t>cost</t>
        </is>
      </c>
      <c r="D9" t="inlineStr">
        <is>
          <t>Alert</t>
        </is>
      </c>
      <c r="E9" s="5" t="n">
        <v>157741.5</v>
      </c>
      <c r="F9" s="5" t="n">
        <v>212617.96</v>
      </c>
      <c r="G9" s="6" t="n">
        <v>54876.45999999999</v>
      </c>
      <c r="H9" s="7" t="n">
        <v>0.3479</v>
      </c>
      <c r="I9" t="inlineStr">
        <is>
          <t>U</t>
        </is>
      </c>
      <c r="J9" t="inlineStr">
        <is>
          <t>Yes</t>
        </is>
      </c>
    </row>
    <row r="10">
      <c r="A10" t="inlineStr">
        <is>
          <t>2025-10</t>
        </is>
      </c>
      <c r="B10" t="inlineStr">
        <is>
          <t>Marketing Programs</t>
        </is>
      </c>
      <c r="C10" t="inlineStr">
        <is>
          <t>cost</t>
        </is>
      </c>
      <c r="D10" t="inlineStr">
        <is>
          <t>Alert</t>
        </is>
      </c>
      <c r="E10" s="5" t="n">
        <v>159003.43</v>
      </c>
      <c r="F10" s="5" t="n">
        <v>204319.82</v>
      </c>
      <c r="G10" s="6" t="n">
        <v>45316.39000000001</v>
      </c>
      <c r="H10" s="7" t="n">
        <v>0.285</v>
      </c>
      <c r="I10" t="inlineStr">
        <is>
          <t>U</t>
        </is>
      </c>
      <c r="J10" t="inlineStr">
        <is>
          <t>Yes</t>
        </is>
      </c>
    </row>
    <row r="11">
      <c r="A11" t="inlineStr">
        <is>
          <t>2025-10</t>
        </is>
      </c>
      <c r="B11" t="inlineStr">
        <is>
          <t>Services Revenue</t>
        </is>
      </c>
      <c r="C11" t="inlineStr">
        <is>
          <t>revenue</t>
        </is>
      </c>
      <c r="D11" t="inlineStr">
        <is>
          <t>Watch</t>
        </is>
      </c>
      <c r="E11" s="5" t="n">
        <v>202331.78</v>
      </c>
      <c r="F11" s="5" t="n">
        <v>215331.48</v>
      </c>
      <c r="G11" s="6" t="n">
        <v>12999.70000000001</v>
      </c>
      <c r="H11" s="7" t="n">
        <v>0.06419999999999999</v>
      </c>
      <c r="I11" t="inlineStr">
        <is>
          <t>F</t>
        </is>
      </c>
      <c r="J11" t="inlineStr"/>
    </row>
    <row r="12">
      <c r="A12" t="inlineStr">
        <is>
          <t>2026-01</t>
        </is>
      </c>
      <c r="B12" t="inlineStr">
        <is>
          <t>Subscription Revenue</t>
        </is>
      </c>
      <c r="C12" t="inlineStr">
        <is>
          <t>revenue</t>
        </is>
      </c>
      <c r="D12" t="inlineStr">
        <is>
          <t>Alert</t>
        </is>
      </c>
      <c r="E12" s="5" t="n">
        <v>2630648.16</v>
      </c>
      <c r="F12" s="5" t="n">
        <v>2474768.64</v>
      </c>
      <c r="G12" s="6" t="n">
        <v>-155879.52</v>
      </c>
      <c r="H12" s="7" t="n">
        <v>-0.0593</v>
      </c>
      <c r="I12" t="inlineStr">
        <is>
          <t>U</t>
        </is>
      </c>
      <c r="J12" t="inlineStr">
        <is>
          <t>Yes</t>
        </is>
      </c>
    </row>
    <row r="13">
      <c r="A13" t="inlineStr">
        <is>
          <t>2026-02</t>
        </is>
      </c>
      <c r="B13" t="inlineStr">
        <is>
          <t>Facilities &amp; Other</t>
        </is>
      </c>
      <c r="C13" t="inlineStr">
        <is>
          <t>cost</t>
        </is>
      </c>
      <c r="D13" t="inlineStr">
        <is>
          <t>Watch</t>
        </is>
      </c>
      <c r="E13" s="5" t="n">
        <v>93894.78999999999</v>
      </c>
      <c r="F13" s="5" t="n">
        <v>97893.28999999999</v>
      </c>
      <c r="G13" s="6" t="n">
        <v>3998.5</v>
      </c>
      <c r="H13" s="7" t="n">
        <v>0.0426</v>
      </c>
      <c r="I13" t="inlineStr">
        <is>
          <t>U</t>
        </is>
      </c>
      <c r="J13" t="inlineStr"/>
    </row>
    <row r="14">
      <c r="A14" t="inlineStr">
        <is>
          <t>2026-02</t>
        </is>
      </c>
      <c r="B14" t="inlineStr">
        <is>
          <t>Sales &amp; Marketing Labor</t>
        </is>
      </c>
      <c r="C14" t="inlineStr">
        <is>
          <t>cost</t>
        </is>
      </c>
      <c r="D14" t="inlineStr">
        <is>
          <t>Watch</t>
        </is>
      </c>
      <c r="E14" s="5" t="n">
        <v>629344.1</v>
      </c>
      <c r="F14" s="5" t="n">
        <v>656851.4300000001</v>
      </c>
      <c r="G14" s="6" t="n">
        <v>27507.33000000007</v>
      </c>
      <c r="H14" s="7" t="n">
        <v>0.0437</v>
      </c>
      <c r="I14" t="inlineStr">
        <is>
          <t>U</t>
        </is>
      </c>
      <c r="J14" t="inlineStr"/>
    </row>
    <row r="15">
      <c r="A15" t="inlineStr">
        <is>
          <t>2026-02</t>
        </is>
      </c>
      <c r="B15" t="inlineStr">
        <is>
          <t>Software &amp; Tools</t>
        </is>
      </c>
      <c r="C15" t="inlineStr">
        <is>
          <t>cost</t>
        </is>
      </c>
      <c r="D15" t="inlineStr">
        <is>
          <t>Watch</t>
        </is>
      </c>
      <c r="E15" s="5" t="n">
        <v>112103.17</v>
      </c>
      <c r="F15" s="5" t="n">
        <v>116592.28</v>
      </c>
      <c r="G15" s="6" t="n">
        <v>4489.110000000001</v>
      </c>
      <c r="H15" s="7" t="n">
        <v>0.04</v>
      </c>
      <c r="I15" t="inlineStr">
        <is>
          <t>U</t>
        </is>
      </c>
      <c r="J15" t="inlineStr"/>
    </row>
    <row r="16">
      <c r="A16" t="inlineStr">
        <is>
          <t>2026-03</t>
        </is>
      </c>
      <c r="B16" t="inlineStr">
        <is>
          <t>Cloud Hosting</t>
        </is>
      </c>
      <c r="C16" t="inlineStr">
        <is>
          <t>cost</t>
        </is>
      </c>
      <c r="D16" t="inlineStr">
        <is>
          <t>Alert</t>
        </is>
      </c>
      <c r="E16" s="5" t="n">
        <v>529321.58</v>
      </c>
      <c r="F16" s="5" t="n">
        <v>710651.89</v>
      </c>
      <c r="G16" s="6" t="n">
        <v>181330.3100000001</v>
      </c>
      <c r="H16" s="7" t="n">
        <v>0.3426</v>
      </c>
      <c r="I16" t="inlineStr">
        <is>
          <t>U</t>
        </is>
      </c>
      <c r="J16" t="inlineStr">
        <is>
          <t>Yes</t>
        </is>
      </c>
    </row>
    <row r="17">
      <c r="A17" t="inlineStr">
        <is>
          <t>2026-03</t>
        </is>
      </c>
      <c r="B17" t="inlineStr">
        <is>
          <t>Subscription Revenue</t>
        </is>
      </c>
      <c r="C17" t="inlineStr">
        <is>
          <t>revenue</t>
        </is>
      </c>
      <c r="D17" t="inlineStr">
        <is>
          <t>Alert</t>
        </is>
      </c>
      <c r="E17" s="5" t="n">
        <v>2742295.5</v>
      </c>
      <c r="F17" s="5" t="n">
        <v>2592219.28</v>
      </c>
      <c r="G17" s="6" t="n">
        <v>-150076.2200000002</v>
      </c>
      <c r="H17" s="7" t="n">
        <v>-0.0547</v>
      </c>
      <c r="I17" t="inlineStr">
        <is>
          <t>U</t>
        </is>
      </c>
      <c r="J17" t="inlineStr">
        <is>
          <t>Yes</t>
        </is>
      </c>
    </row>
    <row r="18">
      <c r="A18" t="inlineStr">
        <is>
          <t>2026-04</t>
        </is>
      </c>
      <c r="B18" t="inlineStr">
        <is>
          <t>Engineering Labor</t>
        </is>
      </c>
      <c r="C18" t="inlineStr">
        <is>
          <t>cost</t>
        </is>
      </c>
      <c r="D18" t="inlineStr">
        <is>
          <t>Alert</t>
        </is>
      </c>
      <c r="E18" s="5" t="n">
        <v>914056.9</v>
      </c>
      <c r="F18" s="5" t="n">
        <v>793444.97</v>
      </c>
      <c r="G18" s="6" t="n">
        <v>-120611.9300000001</v>
      </c>
      <c r="H18" s="7" t="n">
        <v>-0.132</v>
      </c>
      <c r="I18" t="inlineStr">
        <is>
          <t>F</t>
        </is>
      </c>
      <c r="J18" t="inlineStr">
        <is>
          <t>Yes</t>
        </is>
      </c>
    </row>
    <row r="19">
      <c r="A19" t="inlineStr">
        <is>
          <t>2026-04</t>
        </is>
      </c>
      <c r="B19" t="inlineStr">
        <is>
          <t>G&amp;A Labor</t>
        </is>
      </c>
      <c r="C19" t="inlineStr">
        <is>
          <t>cost</t>
        </is>
      </c>
      <c r="D19" t="inlineStr">
        <is>
          <t>Watch</t>
        </is>
      </c>
      <c r="E19" s="5" t="n">
        <v>276310.61</v>
      </c>
      <c r="F19" s="5" t="n">
        <v>267813.35</v>
      </c>
      <c r="G19" s="6" t="n">
        <v>-8497.260000000009</v>
      </c>
      <c r="H19" s="7" t="n">
        <v>-0.0308</v>
      </c>
      <c r="I19" t="inlineStr">
        <is>
          <t>F</t>
        </is>
      </c>
      <c r="J19" t="inlineStr"/>
    </row>
    <row r="20">
      <c r="A20" t="inlineStr">
        <is>
          <t>2026-05</t>
        </is>
      </c>
      <c r="B20" t="inlineStr">
        <is>
          <t>Engineering Labor</t>
        </is>
      </c>
      <c r="C20" t="inlineStr">
        <is>
          <t>cost</t>
        </is>
      </c>
      <c r="D20" t="inlineStr">
        <is>
          <t>Alert</t>
        </is>
      </c>
      <c r="E20" s="5" t="n">
        <v>926853.6899999999</v>
      </c>
      <c r="F20" s="5" t="n">
        <v>811004.63</v>
      </c>
      <c r="G20" s="6" t="n">
        <v>-115849.0599999999</v>
      </c>
      <c r="H20" s="7" t="n">
        <v>-0.125</v>
      </c>
      <c r="I20" t="inlineStr">
        <is>
          <t>F</t>
        </is>
      </c>
      <c r="J20" t="inlineStr">
        <is>
          <t>Yes</t>
        </is>
      </c>
    </row>
    <row r="21">
      <c r="A21" t="inlineStr">
        <is>
          <t>2026-05</t>
        </is>
      </c>
      <c r="B21" t="inlineStr">
        <is>
          <t>Legal &amp; Professional</t>
        </is>
      </c>
      <c r="C21" t="inlineStr">
        <is>
          <t>cost</t>
        </is>
      </c>
      <c r="D21" t="inlineStr">
        <is>
          <t>Alert</t>
        </is>
      </c>
      <c r="E21" s="5" t="n">
        <v>57561.64</v>
      </c>
      <c r="F21" s="5" t="n">
        <v>223358.04</v>
      </c>
      <c r="G21" s="6" t="n">
        <v>165796.4</v>
      </c>
      <c r="H21" s="7" t="n">
        <v>2.8803</v>
      </c>
      <c r="I21" t="inlineStr">
        <is>
          <t>U</t>
        </is>
      </c>
      <c r="J21" t="inlineStr">
        <is>
          <t>Yes</t>
        </is>
      </c>
    </row>
    <row r="22">
      <c r="A22" t="inlineStr">
        <is>
          <t>2026-05</t>
        </is>
      </c>
      <c r="B22" t="inlineStr">
        <is>
          <t>Sales &amp; Marketing Labor</t>
        </is>
      </c>
      <c r="C22" t="inlineStr">
        <is>
          <t>cost</t>
        </is>
      </c>
      <c r="D22" t="inlineStr">
        <is>
          <t>Watch</t>
        </is>
      </c>
      <c r="E22" s="5" t="n">
        <v>660038.53</v>
      </c>
      <c r="F22" s="5" t="n">
        <v>638930.04</v>
      </c>
      <c r="G22" s="6" t="n">
        <v>-21108.48999999999</v>
      </c>
      <c r="H22" s="7" t="n">
        <v>-0.032</v>
      </c>
      <c r="I22" t="inlineStr">
        <is>
          <t>F</t>
        </is>
      </c>
      <c r="J22" t="inlineStr"/>
    </row>
    <row r="23">
      <c r="A23" t="inlineStr">
        <is>
          <t>2026-06</t>
        </is>
      </c>
      <c r="B23" t="inlineStr">
        <is>
          <t>Engineering Labor</t>
        </is>
      </c>
      <c r="C23" t="inlineStr">
        <is>
          <t>cost</t>
        </is>
      </c>
      <c r="D23" t="inlineStr">
        <is>
          <t>Alert</t>
        </is>
      </c>
      <c r="E23" s="5" t="n">
        <v>939829.65</v>
      </c>
      <c r="F23" s="5" t="n">
        <v>843167.99</v>
      </c>
      <c r="G23" s="6" t="n">
        <v>-96661.66000000003</v>
      </c>
      <c r="H23" s="7" t="n">
        <v>-0.1029</v>
      </c>
      <c r="I23" t="inlineStr">
        <is>
          <t>F</t>
        </is>
      </c>
      <c r="J23" t="inlineStr">
        <is>
          <t>Yes</t>
        </is>
      </c>
    </row>
    <row r="24">
      <c r="A24" t="inlineStr">
        <is>
          <t>2026-08</t>
        </is>
      </c>
      <c r="B24" t="inlineStr">
        <is>
          <t>G&amp;A Labor</t>
        </is>
      </c>
      <c r="C24" t="inlineStr">
        <is>
          <t>cost</t>
        </is>
      </c>
      <c r="D24" t="inlineStr">
        <is>
          <t>Watch</t>
        </is>
      </c>
      <c r="E24" s="5" t="n">
        <v>287529.93</v>
      </c>
      <c r="F24" s="5" t="n">
        <v>309279.33</v>
      </c>
      <c r="G24" s="6" t="n">
        <v>21749.40000000002</v>
      </c>
      <c r="H24" s="7" t="n">
        <v>0.0756</v>
      </c>
      <c r="I24" t="inlineStr">
        <is>
          <t>U</t>
        </is>
      </c>
      <c r="J24" t="inlineStr">
        <is>
          <t>Yes</t>
        </is>
      </c>
    </row>
    <row r="26">
      <c r="A26" s="3" t="inlineStr">
        <is>
          <t>Missed by both layers:</t>
        </is>
      </c>
    </row>
    <row r="27">
      <c r="A27" s="2" t="inlineStr">
        <is>
          <t>2026-02 — Subscription Revenue: var $-127,002 (-4.7%), just under the 5% materiality bar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Rolling reforecast — Q4 2026 (trailing-6-month median var% run-rate, clipped at ±15%)</t>
        </is>
      </c>
    </row>
    <row r="3">
      <c r="A3" s="4" t="inlineStr">
        <is>
          <t>Line</t>
        </is>
      </c>
      <c r="B3" s="4" t="inlineStr">
        <is>
          <t>Oct-26</t>
        </is>
      </c>
      <c r="C3" s="4" t="inlineStr">
        <is>
          <t>Nov-26</t>
        </is>
      </c>
      <c r="D3" s="4" t="inlineStr">
        <is>
          <t>Dec-26</t>
        </is>
      </c>
      <c r="E3" s="4" t="inlineStr">
        <is>
          <t>Q4 Total</t>
        </is>
      </c>
    </row>
    <row r="4">
      <c r="A4" t="inlineStr">
        <is>
          <t>Subscription Revenue</t>
        </is>
      </c>
      <c r="B4" s="5" t="n">
        <v>3167249.01</v>
      </c>
      <c r="C4" s="5" t="n">
        <v>3233761.24</v>
      </c>
      <c r="D4" s="5" t="n">
        <v>3301670.22</v>
      </c>
      <c r="E4" s="5" t="n">
        <v>9702680.470000001</v>
      </c>
    </row>
    <row r="5">
      <c r="A5" t="inlineStr">
        <is>
          <t>Services Revenue</t>
        </is>
      </c>
      <c r="B5" s="5" t="n">
        <v>229460.35</v>
      </c>
      <c r="C5" s="5" t="n">
        <v>231754.95</v>
      </c>
      <c r="D5" s="5" t="n">
        <v>234072.5</v>
      </c>
      <c r="E5" s="5" t="n">
        <v>695287.8</v>
      </c>
    </row>
    <row r="6">
      <c r="A6" t="inlineStr">
        <is>
          <t>Cloud Hosting</t>
        </is>
      </c>
      <c r="B6" s="5" t="n">
        <v>619584.92</v>
      </c>
      <c r="C6" s="5" t="n">
        <v>633835.37</v>
      </c>
      <c r="D6" s="5" t="n">
        <v>648413.58</v>
      </c>
      <c r="E6" s="5" t="n">
        <v>1901833.87</v>
      </c>
    </row>
    <row r="7">
      <c r="A7" t="inlineStr">
        <is>
          <t>Support Labor</t>
        </is>
      </c>
      <c r="B7" s="5" t="n">
        <v>342554.65</v>
      </c>
      <c r="C7" s="5" t="n">
        <v>346665.31</v>
      </c>
      <c r="D7" s="5" t="n">
        <v>350825.29</v>
      </c>
      <c r="E7" s="5" t="n">
        <v>1040045.25</v>
      </c>
    </row>
    <row r="8">
      <c r="A8" t="inlineStr">
        <is>
          <t>Engineering Labor</t>
        </is>
      </c>
      <c r="B8" s="5" t="n">
        <v>935523.8199999999</v>
      </c>
      <c r="C8" s="5" t="n">
        <v>948621.16</v>
      </c>
      <c r="D8" s="5" t="n">
        <v>961901.85</v>
      </c>
      <c r="E8" s="5" t="n">
        <v>2846046.83</v>
      </c>
    </row>
    <row r="9">
      <c r="A9" t="inlineStr">
        <is>
          <t>Software &amp; Tools</t>
        </is>
      </c>
      <c r="B9" s="5" t="n">
        <v>124217.39</v>
      </c>
      <c r="C9" s="5" t="n">
        <v>125707.99</v>
      </c>
      <c r="D9" s="5" t="n">
        <v>127216.49</v>
      </c>
      <c r="E9" s="5" t="n">
        <v>377141.87</v>
      </c>
    </row>
    <row r="10">
      <c r="A10" t="inlineStr">
        <is>
          <t>Sales &amp; Marketing Labor</t>
        </is>
      </c>
      <c r="B10" s="5" t="n">
        <v>706921.51</v>
      </c>
      <c r="C10" s="5" t="n">
        <v>718232.26</v>
      </c>
      <c r="D10" s="5" t="n">
        <v>729723.97</v>
      </c>
      <c r="E10" s="5" t="n">
        <v>2154877.74</v>
      </c>
    </row>
    <row r="11">
      <c r="A11" t="inlineStr">
        <is>
          <t>Marketing Programs</t>
        </is>
      </c>
      <c r="B11" s="5" t="n">
        <v>178168.39</v>
      </c>
      <c r="C11" s="5" t="n">
        <v>179593.73</v>
      </c>
      <c r="D11" s="5" t="n">
        <v>181030.49</v>
      </c>
      <c r="E11" s="5" t="n">
        <v>538792.61</v>
      </c>
    </row>
    <row r="12">
      <c r="A12" t="inlineStr">
        <is>
          <t>Customer Success Labor</t>
        </is>
      </c>
      <c r="B12" s="5" t="n">
        <v>258251.73</v>
      </c>
      <c r="C12" s="5" t="n">
        <v>261609</v>
      </c>
      <c r="D12" s="5" t="n">
        <v>265009.92</v>
      </c>
      <c r="E12" s="5" t="n">
        <v>784870.65</v>
      </c>
    </row>
    <row r="13">
      <c r="A13" t="inlineStr">
        <is>
          <t>G&amp;A Labor</t>
        </is>
      </c>
      <c r="B13" s="5" t="n">
        <v>290719.32</v>
      </c>
      <c r="C13" s="5" t="n">
        <v>293626.51</v>
      </c>
      <c r="D13" s="5" t="n">
        <v>296562.78</v>
      </c>
      <c r="E13" s="5" t="n">
        <v>880908.6100000001</v>
      </c>
    </row>
    <row r="14">
      <c r="A14" t="inlineStr">
        <is>
          <t>Legal &amp; Professional</t>
        </is>
      </c>
      <c r="B14" s="5" t="n">
        <v>58652.64</v>
      </c>
      <c r="C14" s="5" t="n">
        <v>58887.26</v>
      </c>
      <c r="D14" s="5" t="n">
        <v>59122.81</v>
      </c>
      <c r="E14" s="5" t="n">
        <v>176662.71</v>
      </c>
    </row>
    <row r="15">
      <c r="A15" t="inlineStr">
        <is>
          <t>Facilities &amp; Other</t>
        </is>
      </c>
      <c r="B15" s="5" t="n">
        <v>97690.88</v>
      </c>
      <c r="C15" s="5" t="n">
        <v>98179.34</v>
      </c>
      <c r="D15" s="5" t="n">
        <v>98670.24000000001</v>
      </c>
      <c r="E15" s="5" t="n">
        <v>294540.46</v>
      </c>
    </row>
    <row r="17">
      <c r="A17" s="3" t="inlineStr">
        <is>
          <t>Backtest — forecast made at Dec 2025 for Jan–Sep 2026: reforecast MAPE 3.2% vs. budget 3.2%. The reforecast wins on stable run-rate lines and cannot anticipate one-off events; overall it ties the budget.</t>
        </is>
      </c>
    </row>
    <row r="19">
      <c r="A19" s="4" t="inlineStr">
        <is>
          <t>Line</t>
        </is>
      </c>
      <c r="B19" s="4" t="inlineStr">
        <is>
          <t>Reforecast MAPE</t>
        </is>
      </c>
      <c r="C19" s="4" t="inlineStr">
        <is>
          <t>Budget MAPE</t>
        </is>
      </c>
      <c r="D19" s="4" t="inlineStr">
        <is>
          <t>Winner</t>
        </is>
      </c>
    </row>
    <row r="20">
      <c r="A20" t="inlineStr">
        <is>
          <t>Cloud Hosting</t>
        </is>
      </c>
      <c r="B20" s="7" t="n">
        <v>0.0437</v>
      </c>
      <c r="C20" s="7" t="n">
        <v>0.0431</v>
      </c>
      <c r="D20" t="inlineStr">
        <is>
          <t>Budget</t>
        </is>
      </c>
    </row>
    <row r="21">
      <c r="A21" t="inlineStr">
        <is>
          <t>Customer Success Labor</t>
        </is>
      </c>
      <c r="B21" s="7" t="n">
        <v>0.0121</v>
      </c>
      <c r="C21" s="7" t="n">
        <v>0.0129</v>
      </c>
      <c r="D21" t="inlineStr">
        <is>
          <t>Reforecast</t>
        </is>
      </c>
    </row>
    <row r="22">
      <c r="A22" t="inlineStr">
        <is>
          <t>Engineering Labor</t>
        </is>
      </c>
      <c r="B22" s="7" t="n">
        <v>0.0511</v>
      </c>
      <c r="C22" s="7" t="n">
        <v>0.0535</v>
      </c>
      <c r="D22" t="inlineStr">
        <is>
          <t>Reforecast</t>
        </is>
      </c>
    </row>
    <row r="23">
      <c r="A23" t="inlineStr">
        <is>
          <t>Facilities &amp; Other</t>
        </is>
      </c>
      <c r="B23" s="7" t="n">
        <v>0.0272</v>
      </c>
      <c r="C23" s="7" t="n">
        <v>0.0276</v>
      </c>
      <c r="D23" t="inlineStr">
        <is>
          <t>Reforecast</t>
        </is>
      </c>
    </row>
    <row r="24">
      <c r="A24" t="inlineStr">
        <is>
          <t>G&amp;A Labor</t>
        </is>
      </c>
      <c r="B24" s="7" t="n">
        <v>0.0189</v>
      </c>
      <c r="C24" s="7" t="n">
        <v>0.019</v>
      </c>
      <c r="D24" t="inlineStr">
        <is>
          <t>Reforecast</t>
        </is>
      </c>
    </row>
    <row r="25">
      <c r="A25" t="inlineStr">
        <is>
          <t>Legal &amp; Professional</t>
        </is>
      </c>
      <c r="B25" s="7" t="n">
        <v>0.1096</v>
      </c>
      <c r="C25" s="7" t="n">
        <v>0.1096</v>
      </c>
      <c r="D25" t="inlineStr">
        <is>
          <t>Budget</t>
        </is>
      </c>
    </row>
    <row r="26">
      <c r="A26" t="inlineStr">
        <is>
          <t>Marketing Programs</t>
        </is>
      </c>
      <c r="B26" s="7" t="n">
        <v>0.0319</v>
      </c>
      <c r="C26" s="7" t="n">
        <v>0.0295</v>
      </c>
      <c r="D26" t="inlineStr">
        <is>
          <t>Budget</t>
        </is>
      </c>
    </row>
    <row r="27">
      <c r="A27" t="inlineStr">
        <is>
          <t>Sales &amp; Marketing Labor</t>
        </is>
      </c>
      <c r="B27" s="7" t="n">
        <v>0.0175</v>
      </c>
      <c r="C27" s="7" t="n">
        <v>0.0175</v>
      </c>
      <c r="D27" t="inlineStr">
        <is>
          <t>Budget</t>
        </is>
      </c>
    </row>
    <row r="28">
      <c r="A28" t="inlineStr">
        <is>
          <t>Services Revenue</t>
        </is>
      </c>
      <c r="B28" s="7" t="n">
        <v>0.0198</v>
      </c>
      <c r="C28" s="7" t="n">
        <v>0.0208</v>
      </c>
      <c r="D28" t="inlineStr">
        <is>
          <t>Reforecast</t>
        </is>
      </c>
    </row>
    <row r="29">
      <c r="A29" t="inlineStr">
        <is>
          <t>Software &amp; Tools</t>
        </is>
      </c>
      <c r="B29" s="7" t="n">
        <v>0.019</v>
      </c>
      <c r="C29" s="7" t="n">
        <v>0.0159</v>
      </c>
      <c r="D29" t="inlineStr">
        <is>
          <t>Budget</t>
        </is>
      </c>
    </row>
    <row r="30">
      <c r="A30" t="inlineStr">
        <is>
          <t>Subscription Revenue</t>
        </is>
      </c>
      <c r="B30" s="7" t="n">
        <v>0.0237</v>
      </c>
      <c r="C30" s="7" t="n">
        <v>0.0234</v>
      </c>
      <c r="D30" t="inlineStr">
        <is>
          <t>Budget</t>
        </is>
      </c>
    </row>
    <row r="31">
      <c r="A31" t="inlineStr">
        <is>
          <t>Support Labor</t>
        </is>
      </c>
      <c r="B31" s="7" t="n">
        <v>0.0083</v>
      </c>
      <c r="C31" s="7" t="n">
        <v>0.0068</v>
      </c>
      <c r="D31" t="inlineStr">
        <is>
          <t>Budget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Methodology &amp; verification notes</t>
        </is>
      </c>
    </row>
    <row r="2">
      <c r="A2" t="inlineStr"/>
    </row>
    <row r="3">
      <c r="A3" t="inlineStr">
        <is>
          <t>Company: a modeled B2B SaaS business (~$30M FY2025 revenue plan) built for this project. Budget and actuals are</t>
        </is>
      </c>
    </row>
    <row r="4">
      <c r="A4" t="inlineStr">
        <is>
          <t>generated from stated plan assumptions; six operating events were planted in the actuals as ground truth so the</t>
        </is>
      </c>
    </row>
    <row r="5">
      <c r="A5" t="inlineStr">
        <is>
          <t>detection layer can be scored honestly. The workflow, thresholds and pack structure are a real FP&amp;A close process.</t>
        </is>
      </c>
    </row>
    <row r="6">
      <c r="A6" t="inlineStr"/>
    </row>
    <row r="7">
      <c r="A7" t="inlineStr">
        <is>
          <t>Materiality (Alert): |variance| &gt;= $25,000 AND &gt;= 5% of budget — fixed before seeing results.</t>
        </is>
      </c>
    </row>
    <row r="8">
      <c r="A8" t="inlineStr">
        <is>
          <t>Statistical (Watch): |z| &gt;= 2.0 on variance % vs. the line's own trailing 6 months, with a 3% actionability floor.</t>
        </is>
      </c>
    </row>
    <row r="9">
      <c r="A9" t="inlineStr">
        <is>
          <t>Sign convention: revenue variance is favorable when actual &gt; budget; cost variance is favorable when actual &lt; budget.</t>
        </is>
      </c>
    </row>
    <row r="10">
      <c r="A10" t="inlineStr">
        <is>
          <t>Labor decomposition: volume = (actual HC - budget HC) x budget cost/head; rate = (actual - budget cost/head) x actual HC.</t>
        </is>
      </c>
    </row>
    <row r="11">
      <c r="A11" t="inlineStr">
        <is>
          <t>The two sum exactly to the labor variance. Reforecast: trailing-6-month median var% applied to budget, clipped at +/-15%.</t>
        </is>
      </c>
    </row>
    <row r="12">
      <c r="A12" t="inlineStr"/>
    </row>
    <row r="13">
      <c r="A13" s="3" t="inlineStr">
        <is>
          <t>Limitations</t>
        </is>
      </c>
    </row>
    <row r="14">
      <c r="A14" t="inlineStr">
        <is>
          <t>- A run-rate reforecast cannot anticipate one-off events (legal costs, freezes); the backtest shows it ties the budget overall.</t>
        </is>
      </c>
    </row>
    <row r="15">
      <c r="A15" t="inlineStr">
        <is>
          <t>- The statistical layer trades precision for recall: about 8% of line-months are flagged for human review.</t>
        </is>
      </c>
    </row>
    <row r="16">
      <c r="A16" t="inlineStr">
        <is>
          <t>- Driver decomposition is exact for labor (headcount data) and directional elsewhere; hosting and programs variances</t>
        </is>
      </c>
    </row>
    <row r="17">
      <c r="A17" t="inlineStr">
        <is>
          <t xml:space="preserve">  are explained from the anomaly log and event review, not decomposed.</t>
        </is>
      </c>
    </row>
    <row r="18">
      <c r="A18" t="inlineStr">
        <is>
          <t>- Modeled data: magnitudes are realistic for a growth-stage SaaS P&amp;L but are not a real company's financials.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2026-10-20T11:58:18+00:00Z</dcterms:created>
  <dcterms:modified xmlns:dcterms="http://purl.org/dc/terms/" xmlns:xsi="http://www.w3.org/2001/XMLSchema-instance" xsi:type="dcterms:W3CDTF">2026-10-20T11:58:18+00:00Z</dcterms:modified>
</cp:coreProperties>
</file>